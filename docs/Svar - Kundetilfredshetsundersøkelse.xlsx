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undetilfredshetsundersøkelse -" sheetId="1" r:id="rId4"/>
    <sheet state="visible" name="Sheet6" sheetId="2" r:id="rId5"/>
    <sheet state="visible" name="mapping" sheetId="3" r:id="rId6"/>
    <sheet state="visible" name="konsulenter" sheetId="4" r:id="rId7"/>
    <sheet state="visible" name="transform - 2024" sheetId="5" r:id="rId8"/>
    <sheet state="visible" name="transform - 2023" sheetId="6" r:id="rId9"/>
    <sheet state="visible" name="transform - 2022" sheetId="7" r:id="rId10"/>
    <sheet state="visible" name="eksport" sheetId="8"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P18">
      <text>
        <t xml:space="preserve">manuelt satt inn</t>
      </text>
    </comment>
    <comment authorId="0" ref="AP21">
      <text>
        <t xml:space="preserve">manuelt satt inn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8">
      <text>
        <t xml:space="preserve">manuelt satt inn</t>
      </text>
    </comment>
    <comment authorId="0" ref="AQ21">
      <text>
        <t xml:space="preserve">manuelt satt inn</t>
      </text>
    </comment>
  </commentList>
</comments>
</file>

<file path=xl/sharedStrings.xml><?xml version="1.0" encoding="utf-8"?>
<sst xmlns="http://schemas.openxmlformats.org/spreadsheetml/2006/main" count="2682" uniqueCount="368">
  <si>
    <t>Response ID</t>
  </si>
  <si>
    <t>Date Created</t>
  </si>
  <si>
    <t>Date Modified</t>
  </si>
  <si>
    <t>IP Address</t>
  </si>
  <si>
    <t>Duration (sec)</t>
  </si>
  <si>
    <t>Response Status</t>
  </si>
  <si>
    <t>Email</t>
  </si>
  <si>
    <t>First Name</t>
  </si>
  <si>
    <t>Last Name</t>
  </si>
  <si>
    <t>Collector ID</t>
  </si>
  <si>
    <t>Collector Type</t>
  </si>
  <si>
    <t>Custom Value</t>
  </si>
  <si>
    <t>Velg selskap/kunde</t>
  </si>
  <si>
    <t>Tilbakemeldingen gjelder</t>
  </si>
  <si>
    <t>Hvor godt fornøyd er du med det utførte arbeidet til konsulenten fra JProfessionals AS</t>
  </si>
  <si>
    <t>Hvor godt fornøyd er du med det utførte arbeidet til konsulenten fra JProfessionals AS | Kommentar</t>
  </si>
  <si>
    <t>Har konsulenten fra JProfessionals AS den nødvendige kompetansen for arbeidet dere trenger utført?</t>
  </si>
  <si>
    <t>Har konsulenten fra JProfessionals AS den nødvendige kompetansen for arbeidet dere trenger utført? | Kommentar / Er det kompetanse du savner?</t>
  </si>
  <si>
    <t>Hvor godt fornøyd er du med konsulenten fra JProfessionals AS sitt bidrag til kompetansedeling innad i ditt team/din organisasjon?</t>
  </si>
  <si>
    <t>Hvor godt fornøyd er du med konsulenten fra JProfessionals AS sitt bidrag til kompetansedeling innad i ditt team/din organisasjon? | Kommentar</t>
  </si>
  <si>
    <t>Hvor godt fornøyd er du med det generelle samarbeidet og kommunikasjonen med konsulenten fra JProfessionals AS?</t>
  </si>
  <si>
    <t>Hvor godt fornøyd er du med det generelle samarbeidet og kommunikasjonen med konsulenten fra JProfessionals AS? | Kommentar</t>
  </si>
  <si>
    <t>Hvor godt fornøyd er du med oppfølgingen fra, og samarbeidet med, JProfessionals AS? (valgfritt) - Om JProfessionals ikke er leverandøren du forholder deg til kan du se bort fra dette spørsmålet.</t>
  </si>
  <si>
    <t>Hvor godt fornøyd er du med oppfølgingen fra, og samarbeidet med, JProfessionals AS? (valgfritt) - Om JProfessionals ikke er leverandøren du forholder deg til kan du se bort fra dette spørsmålet. | Kommentar</t>
  </si>
  <si>
    <t>I hvor stor grad synes du at kostnaden for konsulenten fra JProfessionals AS er verdt nytten de tilfører din organisasjon?</t>
  </si>
  <si>
    <t>I hvor stor grad synes du at kostnaden for konsulenten fra JProfessionals AS er verdt nytten de tilfører din organisasjon? | Kommentar</t>
  </si>
  <si>
    <t>Er det ytterligere områder eller tjenester du ser behov for bistand til?</t>
  </si>
  <si>
    <t>62.92.224.122</t>
  </si>
  <si>
    <t>completed</t>
  </si>
  <si>
    <t>Not Answered</t>
  </si>
  <si>
    <t>weblink</t>
  </si>
  <si>
    <t>Husbanken</t>
  </si>
  <si>
    <t>Terje Wallem</t>
  </si>
  <si>
    <t>Svært fornøyd</t>
  </si>
  <si>
    <t>I stor grad</t>
  </si>
  <si>
    <t>(Overhuset) Ikke vært så mye dialog, men mangler ikke noe :-)</t>
  </si>
  <si>
    <t>5 - star</t>
  </si>
  <si>
    <t>81.175.27.28</t>
  </si>
  <si>
    <t>SPK</t>
  </si>
  <si>
    <t>Ingebrigt Berg</t>
  </si>
  <si>
    <t xml:space="preserve">Kunnskapsrik, omgjengelig, tar initiativ. </t>
  </si>
  <si>
    <t>46.212.44.252</t>
  </si>
  <si>
    <t>Entur</t>
  </si>
  <si>
    <t>Bent Lorentzen</t>
  </si>
  <si>
    <t xml:space="preserve">Bent er en svært kompetent teknolog som leverer arbeid av høy kvalitet. Hans erfaring og kompetanse innenfor feltet har bidratt til gode diskusjoner i teamet, gode løsninger, kunnskapsdeling og har vært med på å dra teamet i en veldig god retning. </t>
  </si>
  <si>
    <t>Bent har absolutt den nødvendige kompetansen for det arbeidet Entur trenger utført, og av de få områdene han ikke hadde kunnskap til fra før har han vist stor lærevilje og raskt kommet opp på et høyt kunnskapsnivå for ny teknologi og ikke minst domene.</t>
  </si>
  <si>
    <t>Som nevnt som kommentar i det første spørsmålet bidrar Bent i aller største grad til kompetansedeling innad i teamet. Hans evne til å vise forståelse og tålmodighet for de som skal tilegne seg ny kunnskap gjør han til en god mentor.</t>
  </si>
  <si>
    <t>Bent er veldig samarbeidsvillig og stiller alltid opp på kort varsel hvis noen trenger hjelp eller ønsker å arbeide sammen med ham. Bent og jeg (produktleder) har ukentlige møter for å planlegge uken jeg synes er veldig verdifullt. Han deltar alltid flittig i møter, har tydelige meninger, men er også alltid åpen for andres meninger og er villig til å diskutere emner med teamet før en endelig beslutning tas.</t>
  </si>
  <si>
    <t>Frederik Rønnevig</t>
  </si>
  <si>
    <t>Frederik har hovedansvaret for DevOps i teamet, og har bidratt til at teamet følger den ønskede infrastrukturen i Entur på en svært god måte i et helt nyoppstartet team (CI/CD-løp, GCP, tilgangsstyring mm). Han har også levert godt på selve applikasjonen vi utvikler på.</t>
  </si>
  <si>
    <t xml:space="preserve">Frederik har veldig god teknisk kompetanse både innenfor programmering og DevOps. Han er også svært lærevillig og setter alltid pris på å få nye oppgaver med teknologier han ikke har brukt før. </t>
  </si>
  <si>
    <t xml:space="preserve">Frederik er kanskje den på teamet som er aller best til å dokumentere både kode og prosesser i teamet, som legger til rette for at både teamet og eksterne enkelt kan sette seg inn i kode og prosesser og forstå hans tankeprosess ved valg. Han har også bidratt på dokumentasjonen til andre team for å gjøre det enklere for nestemann som skal lære seg det samme. </t>
  </si>
  <si>
    <t>Jeg er generelt svært fornøyd med både samarbeidet og kommunikasjonen til Frederik. Han stiller også alltid opp hvis noen trenger hjelp, løser gjerne oppgaver med andre og bidrar alltid til god stemning i teamet. Fordi jeg setter veldig pris på hans meninger skulle jeg kanskje ønske at han kunne vært enda litt mer på/med i diskusjoner i møter, men generelt er jeg svært fornøyd med samarbeidet vårt.</t>
  </si>
  <si>
    <t>partial</t>
  </si>
  <si>
    <t>188.95.247.201</t>
  </si>
  <si>
    <t>Ruter/TET Digital</t>
  </si>
  <si>
    <t>David Børresen</t>
  </si>
  <si>
    <t>Ekstremt kunnig inom sitt fag. Leverarar alltid. Har gjort ett arbete jag har svårt att se att någon andra kan göra lika bra.</t>
  </si>
  <si>
    <t>Otveksamt</t>
  </si>
  <si>
    <t>Litt fornøyd</t>
  </si>
  <si>
    <t>Båda konsulenterna sitter på så bra kompetans som är högre än andra i sällskapet. Jag skulle gärna se att dom delar med sig mer av det. Kan se att det kan vara aktuellt att dom delar med sig av sitt arbete i mycket större utsträckning på Ruter/TET. Kan vara mer aktuellt när vi har mer på plats att visa mer emot ledelsen ect</t>
  </si>
  <si>
    <t>Superenkelt att jobba med, enkel transparant kommunikation. Vågar komma med bra feedback ifall han inte är enig i saker. Alltid trevligt att prata med.</t>
  </si>
  <si>
    <t>Osäker på denna, Känner egentligen att jag inte har ett direkt förhållande emot JPro</t>
  </si>
  <si>
    <t>Smakar det så kostar det är väll det dom säger.</t>
  </si>
  <si>
    <t>Inte för tillfället ifrån Jpro</t>
  </si>
  <si>
    <t>Ole Kristian Fjærestad</t>
  </si>
  <si>
    <t>För mig känns det som Ole Kristian inte bara tar design som facit, utan höjer arbetet och tänker ett steg längre. För mig är det ett signalement för en väldigt duktig utvecklare. Allt som jag sätt Ole kristian levererar är i hög klass.</t>
  </si>
  <si>
    <t>Absolut.</t>
  </si>
  <si>
    <t>Se min tidigare kommentar. Jag skulle gärna se (kanske i en framtid när mer är på plats) att Ole kristian delar med sig mer av sitt arbete bredare inom organisationen. Tror mycket av arbetet är väldigt uppskattat av utvecklare, men jag vill gärna att andra fag ser nyttan och kvaliteten.</t>
  </si>
  <si>
    <t>Ole kristian är superenkel att jobba med, Kommer med bra inspel och tankar. Alltid ett nöje att prata med och jag ser fram emot att sitta sammen med på kontoret.</t>
  </si>
  <si>
    <t>Se tidigare kommentar om detta, har som sagt inget direkt förhållande till Jpro</t>
  </si>
  <si>
    <t>Smakar det så kostar det.</t>
  </si>
  <si>
    <t>Nej, inte nu</t>
  </si>
  <si>
    <t>46.212.188.97</t>
  </si>
  <si>
    <t>NRK</t>
  </si>
  <si>
    <t>Audun Småge</t>
  </si>
  <si>
    <t>han er den på teamet med best kompetanse</t>
  </si>
  <si>
    <t>kjempefornøyd og håper å kunne få jobbe med ham veldig mye lengre!</t>
  </si>
  <si>
    <t>har likt alle konsulentene jeg har jobbet med og møtt fra JPro</t>
  </si>
  <si>
    <t>har ikke hatt veldig mye med dem direkte selv, bortsatt fra via Audun</t>
  </si>
  <si>
    <t>akkurat nå er han den jeg trenger mest på teamet, og det er verd prisen</t>
  </si>
  <si>
    <t>195.18.187.143</t>
  </si>
  <si>
    <t>Statnett</t>
  </si>
  <si>
    <t>Frode Roxrud Gill</t>
  </si>
  <si>
    <t>195.18.187.144</t>
  </si>
  <si>
    <t>81.166.197.7</t>
  </si>
  <si>
    <t>Aker Solutions</t>
  </si>
  <si>
    <t>Michael Karén</t>
  </si>
  <si>
    <t>Veldig godt fornøyd med Michael's innsats.
Han tar ansvar og bidrar aktivt med gode innspill, i motsetning til å 'bare gjøre som han får beskjed om'.</t>
  </si>
  <si>
    <t>Savner ingenting</t>
  </si>
  <si>
    <t>Vanskelig å kommentere direkte da jeg ikke er utvikler selv, men mitt inntrykk er at FE teamet jobber godt sammen</t>
  </si>
  <si>
    <t>Fungerer veldig bra.</t>
  </si>
  <si>
    <t>Har ikke innsyn i kostnader</t>
  </si>
  <si>
    <t>Ingenting konkret.</t>
  </si>
  <si>
    <t>Ganske fornøyd</t>
  </si>
  <si>
    <t>4 - star</t>
  </si>
  <si>
    <t>Måtte friske opp litt, lære seg noe nytt - men dette har gått bra og vi er fornøyde i dag.</t>
  </si>
  <si>
    <t>Har ikke hatt mulighet til å gjøre dette foreløpig, men kommer nå inn i e større team og vil kunne vise seg frem. Burde hatt en mulighet til å svare ikke aktuelt ;)</t>
  </si>
  <si>
    <t>Fornøyd med erstatning og prosessen rundt dette (var smidig).</t>
  </si>
  <si>
    <t>Vi leide inn en med litt annen kompetanse og konsulenten som nå bekler oppdraget har smalere kompetanse. Derfor er ikke forholdet mellom pris og leveranse like godt som det var opprinnelig.</t>
  </si>
  <si>
    <t>31.45.108.25</t>
  </si>
  <si>
    <t>Greger Hemb</t>
  </si>
  <si>
    <t>155.55.51.187</t>
  </si>
  <si>
    <t>NAV</t>
  </si>
  <si>
    <t>Joar Aurdal</t>
  </si>
  <si>
    <t xml:space="preserve">Joar er svært dyktig senior utvikler. Blant annet er han alltid å regne med når ting er svært krevende. Det er mange positive egenskaper å trekke frem. Blant annet bidrar med psykologisk trygghet for teamet. Er god på å gi estimater på svært komplekse ting som kan ta måneder å bygge, når tid for å angi estimat er kort og med stort press på å gi de estimatene. </t>
  </si>
  <si>
    <t xml:space="preserve">Jeg kan ikke si at det er noe konkret kompetanser som jeg savner. Joar tilegner seg kompetanse i det tverrfaglige teamet som vi er, så det går bra. </t>
  </si>
  <si>
    <t xml:space="preserve">Kompetansedeling for Joar er bra! Inkluderende og tar ansvar og har gode evner til det. </t>
  </si>
  <si>
    <t xml:space="preserve">Har ingen ting å sette fingeren på. Det er veldig bra. </t>
  </si>
  <si>
    <t xml:space="preserve">Jeg har ikke noe oppfølging derfra. Andre i organisasjonen har helt sikkert det, vil jeg tro. </t>
  </si>
  <si>
    <t>3 - star</t>
  </si>
  <si>
    <t xml:space="preserve">Jeg kjenner ikke til kostnaden. Jeg er produktleder og har ikke noe personalansvar sånn sett, blant annet så forholder jeg meg ikke til lønnskostnader. </t>
  </si>
  <si>
    <t xml:space="preserve">Nei. </t>
  </si>
  <si>
    <t>95.130.218.5</t>
  </si>
  <si>
    <t>80.203.100.46</t>
  </si>
  <si>
    <t>Håvard Andersen</t>
  </si>
  <si>
    <t>Litt misfornøyd</t>
  </si>
  <si>
    <t xml:space="preserve">Er veldig fornøyd med konsulenten, men hører lite fra JP bortsett fra når det bes om en evaluering av konsulenten. </t>
  </si>
  <si>
    <t>77.16.212.108</t>
  </si>
  <si>
    <t>Schibsted</t>
  </si>
  <si>
    <t>Runar Bell</t>
  </si>
  <si>
    <t>Runar har jobbet for oss lenge og har lang erfaring med våre systemer. Leverer alltid arbeid av høy kvalitet.</t>
  </si>
  <si>
    <t>Ikke for øyeblikket</t>
  </si>
  <si>
    <t>Lars-Olof Moilanen</t>
  </si>
  <si>
    <t>Lars-Olof leverer arbeid av høy kvalitet, og er tar alle utfordringer på strak arm. En god ressurs og ha på teamet.</t>
  </si>
  <si>
    <t>Ganske fornøyd </t>
  </si>
  <si>
    <t>Geoffrey Rekier</t>
  </si>
  <si>
    <t xml:space="preserve">Geoffrey er en veldig dyktig utvikler som jobber med flere av våre mest kritiske systemer </t>
  </si>
  <si>
    <t>151.187.161.6</t>
  </si>
  <si>
    <t>Skatteetaten</t>
  </si>
  <si>
    <t>Anders Karlsen</t>
  </si>
  <si>
    <t>155.55.51.186</t>
  </si>
  <si>
    <t>Anton Fofanov</t>
  </si>
  <si>
    <t>Jeg har ikke innsyn i pris/avtaler.</t>
  </si>
  <si>
    <t>Akkurat startet hos oss, så litt tidlig å uttale seg og i hvert fall gi full score</t>
  </si>
  <si>
    <t>Står over denne. Siden jeg som teamleder ikke har så mye kontakt med dere</t>
  </si>
  <si>
    <t>Nei</t>
  </si>
  <si>
    <t>Robert Andersson</t>
  </si>
  <si>
    <t>Som teamleder har jeg ikke så mye kontakt med konsulentselskapet. Velger derfor å ikke svare</t>
  </si>
  <si>
    <t>nei</t>
  </si>
  <si>
    <t>88.94.38.178</t>
  </si>
  <si>
    <t>Ole Jørgen Aurebekk</t>
  </si>
  <si>
    <t xml:space="preserve">Ole Jørgen har vært hos oss i mange år og gjør en utmerket jobb. </t>
  </si>
  <si>
    <t xml:space="preserve">Konsumenten ledet et kompetansetiltak knyttet til AI for oss og deler ellers av sin kunnskap. </t>
  </si>
  <si>
    <t xml:space="preserve">Konsulenten fingere godt i teamet der han er. </t>
  </si>
  <si>
    <t>Konsulentene våre gir et helt nødvendig bidrag.</t>
  </si>
  <si>
    <t xml:space="preserve">Ikke akkurat nå. </t>
  </si>
  <si>
    <t>Ivar Gjessing</t>
  </si>
  <si>
    <t>Ivar har ikke vært her så lenge enda så litt tidlig å gi en skikkelig tilbakemelding</t>
  </si>
  <si>
    <t>Han virker å løse oppgavene han får på en god måte</t>
  </si>
  <si>
    <t>Ivar er flink til å involvere de rundt seg ved behov og samarbeider godt med teamet</t>
  </si>
  <si>
    <t>Ikke p.t.</t>
  </si>
  <si>
    <t>Magnus Skuland</t>
  </si>
  <si>
    <t>Magnus jobber effektivt og setter seg raskt inn i mer komplekse problemer. Han tar eierskap til det han jobber med og svarer også ut de som tar kontakt utenfor teamet.</t>
  </si>
  <si>
    <t>Magnus er alltid åpen for å bistå når kollegaer trenger hjelp eller noen å sparre med, han deler også av egen erfaring i andre settinger.</t>
  </si>
  <si>
    <t>Magnus samarbeider godt med de andre i teamet og folk utenfor.</t>
  </si>
  <si>
    <t>Sverre Kristian Valskrå</t>
  </si>
  <si>
    <t>Sverre trenger å jobbe litt med å være mer forberedt til møter slik at man får gode diskusjoner med godt gjennomtenkte løsninger fra start. Dette har jeg også snakket med Sverre om.</t>
  </si>
  <si>
    <t xml:space="preserve">Sverre kan gjerne dele mer rundt hvilke andre løsninger man heller bør se på i tilfeller der han ikke er enig med foreslått løsning. </t>
  </si>
  <si>
    <t>Sverre kan gjerne ta mer eget initiativ opp mot andre team og særlig arkitektene i de andre teamene, og andre prosjekter, der vi har sammenfallende interesser. Være mer proaktiv.</t>
  </si>
  <si>
    <t>Iver Stubdal</t>
  </si>
  <si>
    <t>Iver leverer som forventet i prosjektet.</t>
  </si>
  <si>
    <t xml:space="preserve">Han bidrar og er aktiv i diskusjoner om løsningsvalg i teamet. Bidrar ikke så mye med kompetansedeling utover prosjektet. </t>
  </si>
  <si>
    <t xml:space="preserve">Iver samarbeider bra med teamet. Kommuniserer og rapporterer klart i møtene. Passer godt inn i miljøet i prosjektet. </t>
  </si>
  <si>
    <t xml:space="preserve">Har i kategorien ekspert en høy timepris. </t>
  </si>
  <si>
    <t>Thomas Arp</t>
  </si>
  <si>
    <t>Thomas er teamleder og teamarkitekt for oss. Selv med to krevende roller som er utfordrende å kombinere leverer han svært godt.
Som teamleder er han dyktig til å fordele og ha oversikt over oppgaver og teammedlemmer, han ser hver enkelt og fungerer godt i rollen som sosialt lim i et distribuert team.
Som arkitekt er han sentral i utviklingen av nye løsninger og også i saneringen av gamle, det er et enormt spekter av oppgaver og kompetanseområder som han spenner over.
Thomas er en usedvanlig hyggelig fyr, og kombinerer det med enorm kompetanse. Sjelden vare.</t>
  </si>
  <si>
    <t>Jeg og Thomas har ukentlige 1:1-møter, og han er tydelig på forventninger og behov dersom det trengs - det er viktig og nyttig for at vi skal bevege oss fremover.</t>
  </si>
  <si>
    <t>188.95.241.97</t>
  </si>
  <si>
    <t>Svært misfornøyd</t>
  </si>
  <si>
    <t>46.9.227.159</t>
  </si>
  <si>
    <t>Politiet</t>
  </si>
  <si>
    <t>178.232.249.155</t>
  </si>
  <si>
    <t>Matthew Koranda</t>
  </si>
  <si>
    <t>Konsulenten leverer som forventet av en sjefskonsulent</t>
  </si>
  <si>
    <t>Har gjennom oppdraget ervervet seg nødvendig kompetanse.</t>
  </si>
  <si>
    <t>Konsulenten har hele tiden vist en åpen og fin holdning når det gjelder kompetansedeling</t>
  </si>
  <si>
    <t>samarbeider veldig bra.</t>
  </si>
  <si>
    <t>N/A</t>
  </si>
  <si>
    <t>kostbar sjefskonsulent.</t>
  </si>
  <si>
    <t>62.92.224.123</t>
  </si>
  <si>
    <t>Sikt</t>
  </si>
  <si>
    <t>Lasse Krabye</t>
  </si>
  <si>
    <t>Petter Kristiansen</t>
  </si>
  <si>
    <t>Posten/Bring</t>
  </si>
  <si>
    <t>Jonathan Share</t>
  </si>
  <si>
    <t>Jonathan "kan alt"</t>
  </si>
  <si>
    <t xml:space="preserve">Veldig bra. Det han ikke kan fra før finner han ut av
</t>
  </si>
  <si>
    <t>Jonathan er aktiv i Slack kanaler, presenterer på kompetansedelingsfora</t>
  </si>
  <si>
    <t>Kristoffer er alltid tilgjengelig</t>
  </si>
  <si>
    <t>Ganske stive timepriser, men Jonathan gjør en meget god jobb</t>
  </si>
  <si>
    <t>Arild Nilsen</t>
  </si>
  <si>
    <t>Arild leverer godt og er en meget viktig del av teamet. Selvstendig og leverer med kvalitet og effektivitet.</t>
  </si>
  <si>
    <t>Den dialogen skjer mellom andre enn meg.</t>
  </si>
  <si>
    <t>46.46.202.104</t>
  </si>
  <si>
    <t>Gunnar Gauslaa Bergem</t>
  </si>
  <si>
    <t>Ingenting å utsette på kvalitet på arbeid og pålitelighet. Savner noe mer proaktive bidrag i diskusjoner på teamet og andre forum for utviklere.</t>
  </si>
  <si>
    <t>Ref kommentar på spørsmål 3. Dette kan gjerne gjøres mer proaktivt enn det gjøres idag.</t>
  </si>
  <si>
    <t>Jeg har som teamleder ikke kontakt med Overhuset selv.</t>
  </si>
  <si>
    <t>Jeg som teamleder sitter ikke på informasjon om kost.</t>
  </si>
  <si>
    <t>Rune Offerdal</t>
  </si>
  <si>
    <t>Konsulent</t>
  </si>
  <si>
    <t>78.82.46.215</t>
  </si>
  <si>
    <t>Tolletaten</t>
  </si>
  <si>
    <t>155.55.51.185</t>
  </si>
  <si>
    <t>Ingleiv Johansen</t>
  </si>
  <si>
    <t>Opplever Ingleiv som en person som er flink til å dele generelt og opptatt av å formidle sin kompetanse på en måte som resten av teamet forstår</t>
  </si>
  <si>
    <t>Ingleiv er en veldig positiv og løsningsorientert person som er lett å samarbeide med.</t>
  </si>
  <si>
    <t>Opplever at Ingleiv er vel verdt kostnaden.</t>
  </si>
  <si>
    <t>Espen Schei</t>
  </si>
  <si>
    <t xml:space="preserve">Espen utfører arbeidet på en svært god måte. Han er fremoverlent, løsningsorientert, proaktiv og ikke minst, leverer svært høy kvalitet. Han er en viktig driver i teamet og en viktig nøkkelperson for mange av våre problemstillinger. </t>
  </si>
  <si>
    <t xml:space="preserve">Jeg opplever at han har kompetansen vi trenger for at han skal utføre oppdraget, og de riktige egenskapene til å sette seg inn i bredden og kompleksiteten i faget vi har som oppdrag å levere på. </t>
  </si>
  <si>
    <t xml:space="preserve">Jeg opplever at Espen deler, diskuter og reflekterer godt over valgt om løsninger og deler det aktivt med teamet. </t>
  </si>
  <si>
    <t xml:space="preserve">Jeg opplever at vi har en god og åpen dialog, og at samarbeidet fungerer godt. Espen er enkel å prate med og gjør seg noen gode betrakninger når vi diskuterer arbeidet. </t>
  </si>
  <si>
    <t xml:space="preserve">Espen er en av våre viktigste pådrivere og har bidratt utrolig mye for at vi skal komme i mål med oppdraget (reform) vårt innen deadline. </t>
  </si>
  <si>
    <t>84.214.218.29</t>
  </si>
  <si>
    <t>Anton har god kompetanse og leverer godt på alle områder. Hvis han får en vanskelig problemstilling så er han god på å tilegne seg kompetanse på teknologien og domenet og får arbeidet godt utført.</t>
  </si>
  <si>
    <t>Anton er god på å diskutere samt dele kompetanse i sitt team og i organisasjonen.</t>
  </si>
  <si>
    <t>Konsulenter er dyrt, men Anton har levert godt på alle arbeidsoppgaver han har fått.</t>
  </si>
  <si>
    <t>Dejan Maric</t>
  </si>
  <si>
    <t>160.67.51.32</t>
  </si>
  <si>
    <t xml:space="preserve">hyggelig å jobbe med, flink i de han gjør, viser at han bryr seg om å lage best mulig løsning for NRK. Ressurs og støttespiller inn i teamet som nå har en rekke nye ansatte. Hyggelig, rolig og omgjengelig. </t>
  </si>
  <si>
    <t>han har absolutt riktig kompetanse for dette teamet, og vil bli savnet når han forsvinner til andre kunder</t>
  </si>
  <si>
    <t xml:space="preserve">deler kompetanse både i møter, i diskusjoner, gjennom codereview og eller der det er naturlig. Lett å spørre om hjelp. </t>
  </si>
  <si>
    <t xml:space="preserve">velig fornøyd! </t>
  </si>
  <si>
    <t>160.67.1.133</t>
  </si>
  <si>
    <t>Christian Wiik</t>
  </si>
  <si>
    <t>veldig fornøyd med utført arbeid og med konsulenten. Han tar ansvar, er en viktig spiller i teamet, sier fra dersom det er noe som kan forbedres, kjenner god til løsningen og er en meget viktig person for teamet og NRK</t>
  </si>
  <si>
    <t>Absolutt nødvendig kompetanse og er en ressurs i teamet - spesielt nå når vi har flere nye i teamet</t>
  </si>
  <si>
    <t xml:space="preserve">god på å dele kompetanse, enten en-til-en, i parprogrammering, eller i større fora. Skal nå også dele større ting vi har gjort i teamet med hele teknologidivisjonen i NRK. </t>
  </si>
  <si>
    <t xml:space="preserve">Meget fornøyd med det generelle arbeidet og alt i alt innstillingen til Christian. Han blir savnet når han en dag går videre til neste oppdrag. </t>
  </si>
  <si>
    <t>78.41.46.2</t>
  </si>
  <si>
    <t>Digitaliseringsdirektoratet</t>
  </si>
  <si>
    <t>Anne Marte Hjemås</t>
  </si>
  <si>
    <t>Frode Bjerkholt</t>
  </si>
  <si>
    <t>Aase Mestad</t>
  </si>
  <si>
    <t>Bjørn Aron Josefsen</t>
  </si>
  <si>
    <t>Høg kvalitet, men utfordrande samhandling. Kjent og akseptert</t>
  </si>
  <si>
    <t>2 - star</t>
  </si>
  <si>
    <t>163.174.96.5</t>
  </si>
  <si>
    <t>Frode Rystad</t>
  </si>
  <si>
    <t>Frode tar tak i nye oppgaver med stor iver. Han involverer andre i teamet i sine oppgaver ved behov og deler av sin kompetanse slik at andre i teamet har fremdrift. Videre bidrar Frode i forbedringer i hvordan teamet jobber med utvikling/forvaltning av kode.</t>
  </si>
  <si>
    <t>Frode har kompetansen vi trenger.</t>
  </si>
  <si>
    <t>Frode deler gjerne sin kompetanse i teamet og til andre team.</t>
  </si>
  <si>
    <t>Frode fungerer veldig bra i teamet og samhandler godt med andre i teamet og med andre team.</t>
  </si>
  <si>
    <t>163.174.98.40</t>
  </si>
  <si>
    <t>Thomas Hansen</t>
  </si>
  <si>
    <t>Skulle ønske han tok noe mer ansvar knyttet til dette som Tech Lead i prosjektet</t>
  </si>
  <si>
    <t>Georg Lundesgaard</t>
  </si>
  <si>
    <t xml:space="preserve">Georg ble satt til en spesifikk produkt/oppgave som følge av sin kompetanse. Denne kompetanse og Georgs generelle kompetanse har og er nyttig for fremdrift på oppgaver i teamet. </t>
  </si>
  <si>
    <t xml:space="preserve">Ja, Georg kan teknologien og har kompetanse vi har behov for. </t>
  </si>
  <si>
    <t>Georg bidrar aktivt i diskusjoner og deler sin kompetanse.</t>
  </si>
  <si>
    <t>Georg fungerer veldig bra i teamet og samhandler godt med andre i teamet.</t>
  </si>
  <si>
    <t>188.95.247.196</t>
  </si>
  <si>
    <t>Ruter</t>
  </si>
  <si>
    <t>Artur Zabeyvorota</t>
  </si>
  <si>
    <t>77.18.53.128</t>
  </si>
  <si>
    <t>Jan Erik Robertsen</t>
  </si>
  <si>
    <t>46.212.92.122</t>
  </si>
  <si>
    <t>Kristian Børresen</t>
  </si>
  <si>
    <t>213.52.14.251</t>
  </si>
  <si>
    <t>Lånekassen</t>
  </si>
  <si>
    <t>163.174.98.20</t>
  </si>
  <si>
    <t>Hans-Petter Vadseth</t>
  </si>
  <si>
    <t>Christian Rørdam</t>
  </si>
  <si>
    <t>85.166.117.71</t>
  </si>
  <si>
    <t>81.166.17.118</t>
  </si>
  <si>
    <t>Tietoevry</t>
  </si>
  <si>
    <t>Stort sett alltid tilgjengelig for deling og bistand</t>
  </si>
  <si>
    <t>188.240.90.2</t>
  </si>
  <si>
    <t>Flink til å inkludere og involvere, samt dele av kompetanse</t>
  </si>
  <si>
    <t>Ikke hatt noen dialog utover konsulentene vi har innleid. Så N/A</t>
  </si>
  <si>
    <t>tekst</t>
  </si>
  <si>
    <t>verdi</t>
  </si>
  <si>
    <t>Ganske misfornøyd</t>
  </si>
  <si>
    <t>I liten grad</t>
  </si>
  <si>
    <t>hp@jpro.no</t>
  </si>
  <si>
    <t>Manuelt lagt til</t>
  </si>
  <si>
    <t>georg@jpro.no</t>
  </si>
  <si>
    <t>Dato</t>
  </si>
  <si>
    <t>Kunde</t>
  </si>
  <si>
    <t>epost</t>
  </si>
  <si>
    <t>Petter Ruud</t>
  </si>
  <si>
    <t>Thore Johnsen</t>
  </si>
  <si>
    <t>10/14/2022 09:59:47 AM</t>
  </si>
  <si>
    <t>Nav</t>
  </si>
  <si>
    <t>Han er opptatt av at koden skal være oversiktlig og godt lesbar. Koden han lager har god kvalitet. Mindre flink på å se funksjonelle sammenhenger og koblinger. Arbeidet hans må testes grundig funksjonelt.</t>
  </si>
  <si>
    <t>Har god kompetanse på forskjellige teknologier og programmeringsspråk. Kan bli bedre på å dele opp arbeidet sitt i mindre prodsettinger (devops og smidig)</t>
  </si>
  <si>
    <t>Han har vært lite på kontoret siste året - bor et stykke unna + flere grunner. Det er en fordel at man også er fysisk tilstede for å få til god kompentansedeling. Vårt inntrykk er at Bent liker å jobbe selvstendig, han kan bli bedre på parprogrammering for å sikre bedre kompetansedeling.</t>
  </si>
  <si>
    <t>Bent er sosial, men liker å jobbe selvstendig. Det har vært litt utfordrende å få ham inn integrert i teamet etter at han har jobbet med tilbakekreving. Dette skyldes at han har vært mye på hjemmekontor, helst liker å jobbe selvstendig og vi har dermed måttet bruke ekstra tid på å følge opp arbeidet hans.</t>
  </si>
  <si>
    <t>Bent har større potensiale enn det han har vist hos oss. Han kan med fordel ta mer senioransvar, drive tekniske prosesser og styre fremdrift.</t>
  </si>
  <si>
    <t>10/13/2022 04:19:23 PM</t>
  </si>
  <si>
    <t>10/13/2022 08:29:14 AM</t>
  </si>
  <si>
    <t>Dnb</t>
  </si>
  <si>
    <t>We are very happy with Geir Inge’s performance. He’s a good team player and also can work independently. We also experience him to be eagerly engaging in non-development tasks like analysis, communication with other teams etc.   We equally hope he feels like part of team and look forward to continuing the collaboration.</t>
  </si>
  <si>
    <t>Veldig flinke folk, Arild Nilsen, Gunnar Bergem og Jonathan Share :-)</t>
  </si>
  <si>
    <t>veldig fornøyd med deres kompetanse</t>
  </si>
  <si>
    <t>Er nok Jonathan som skiller seg positivt ut her (mest aktiv i felles slack kanaler + presenterer på intern "Developer only"), men vet at alle bidrar/deler kompetanse innad i sitt team</t>
  </si>
  <si>
    <t>veldig bra</t>
  </si>
  <si>
    <t>Tar kontakt begge veier ved behov antar jeg :-)</t>
  </si>
  <si>
    <t>Høye/over snittet høy timepris, men 1 dyktig person kan være mer verdt enn 3 "halvgode". Har ikke råd til alt for mange med denne timeprisen, så det blir en miks</t>
  </si>
  <si>
    <t>Nei, ikke for øyeblikket</t>
  </si>
  <si>
    <t>Jeg er ikke i stand til å vurdere i detalj den tekniske kvaliteten på arbeidet, men gir full pott fordi de er positive og veldige dyktige konsulenter og basert på det inntrykket jeg har overordnet på de leveransene de har vært ansvarlig for</t>
  </si>
  <si>
    <t>Mitt inntrykk er at Rune syns det er mer morsomt å bidra til kompetansedeling enn Skjalg - uten av det er noen utfordring.</t>
  </si>
  <si>
    <t>Tipp topp!</t>
  </si>
  <si>
    <t>Har ikke noe direkte dialog med JP Proff, dialogen går igjennom eWorks...</t>
  </si>
  <si>
    <t>Nei, ikke i denne omgang</t>
  </si>
  <si>
    <t>Leverer jevnt over veldig bra. God bredde i kompetanse.</t>
  </si>
  <si>
    <t>Har kompetanse på det det er behov for i området.</t>
  </si>
  <si>
    <t>Vedkommende deler sin kompetanse og parprogrammerer gjerne. Tar ofte initiativ til å dele.</t>
  </si>
  <si>
    <t>Har ikke hatt noe kontakt med JProfessionals i min rolle, men det har heller ikke vært behov for det.</t>
  </si>
  <si>
    <t>Ein kommentar : Ein av konsulentane har noko avvikande arbeidsmønster. Dette gjer det utfordrande med samhandling</t>
  </si>
  <si>
    <t>Jeg har ingen erfaring med JProfessionals utover arbeidet til gjeldende konsulent, har ikke hatt behov for ytterligere oppfølging. Men har ingen erfaring som gjør at jeg kan besvare dette spørsmålet</t>
  </si>
  <si>
    <t>Det er alltid ønskelig å kutte kostnader</t>
  </si>
  <si>
    <t>Mattilsynet</t>
  </si>
  <si>
    <t>Begge konsulentene er flinke, erfarne, samarbeidsvillige, selvstendige og har en "stå på" vilje.</t>
  </si>
  <si>
    <t>Konsulentene kompetanse er i samsvar med utlysningen.</t>
  </si>
  <si>
    <t>Begge er gode på kommunikasjon, selv om de har helt ulike personligheter.</t>
  </si>
  <si>
    <t>Spørsmålet er ikke veldig relevant da det er ikke mye kommunikasjon mellom JProfessionals og Mattilsynet. Den lille kontakten vi har hatt er helt ok. Konsulentene vi har er jeg veldig fornøyd med.</t>
  </si>
  <si>
    <t>Konsulentene er betydelig dyrere enn konkurrentene.</t>
  </si>
  <si>
    <t>Utrolig fornøyd med kvaliteten på arbeidet. Konsulenten leverer ikke bare utmerket kode, han er også en sterk bidragsyter i hele verdikjeden i produktene til teamet. Han er også en kjempegod støttespiller i hele produktområdet og også NAV. Han er alltid interresert i å bruke den nyeste teknologien og holder seg alltid oppdatert.</t>
  </si>
  <si>
    <t>Se forrige svar</t>
  </si>
  <si>
    <t>Konsulenten søker alltid etter det nyeste og beste, og innlemmer resten av teamet i sine ideer og forslag.</t>
  </si>
  <si>
    <t>Han er ikke redd for å si fra når han opplever at ting bør gjøres på andre måter. Konsulenten er heller ikke redd for å stille kritiske spørsmål til oppgaver og hvordan de er tenkt løst. Dette er veldig bra og driver teamet framover.</t>
  </si>
  <si>
    <t>Lite kontakt</t>
  </si>
  <si>
    <t>Dere forklarer ikke hva som ligger i stjernene, og skal jeg være ærlig er jeg ikke spesielt glad i tilbakemeldinger basert på -terning- stjernekast, jeg lurer jo litt på hvordan man internt håndterer stjernekast 4 vs 5 osv. Men jeg er generelt godt fornøyd med alt som er levert fra Jprofessionals konsulenter i alle sammenhenger jeg har sett dem i arbeid, svært forskjellige personligheter, men virker som engasjerte, kunnskapsrike fagfolk som også plasserer seg selv godt i teamene de er plassert i.</t>
  </si>
  <si>
    <t>Jf. forrige kommentar. Virker kunnskapsrike og generelt initiativrike.</t>
  </si>
  <si>
    <t>En annen kommentar er at jeg ikke egentlig setter pris på undersøkelser der alle spørsmål er obligatoriske. Noen ganger har jeg avsluttet kundeundersøkelser før tiden fordi det spørres om ting jeg ikke har grunnlag for å svare på, og hvor jeg dermed enten må finne på (alias lyve) om svaret, eller forlate undersøkelsen. I dette tilfellet har jeg tynt grunnlag for å svare på 2 av 3, siden de er såpass ferske hos oss, men den med lengst fartstid bidrar godt til intern kompetansebygging.</t>
  </si>
  <si>
    <t>Jf forrige - jeg har egentlig ikke noe mer å si på denne.</t>
  </si>
  <si>
    <t>Jf. kommentar til spørsmål 3 - her har jeg ikke mye å si. Jeg har ikke hatt mye å gjøre med JPro som selskap, og har dermed egentlig ikke mye å si på dette spørsmålet. Så kan dere jo ta et stjernekast 1 på spørsmålet, i stedet for på samarbeidet.</t>
  </si>
  <si>
    <t>Tilbake til -- hva betyr stjernene? Noen som ikke orker å se på kvalitative tilbakemeldinger?  Stjernekast 4 betyr her "minst så god som gjennomsnittet, trolig bedre".</t>
  </si>
  <si>
    <t>Jevnlig...  I den grad vi får budsjetter, prøver vi å få det til...</t>
  </si>
  <si>
    <t>09/30/2022 04:30:33 PM</t>
  </si>
  <si>
    <t>Har vel ikke så mye kontakt med dere, men savner det forsåvidt heller ikke.</t>
  </si>
  <si>
    <t>Nytteverdien er absolutt der, men sammenlignet med andre dyktige konsulenter vi har inne så synes jeg denne konsulenten ligger litt høyt i pris.</t>
  </si>
  <si>
    <t>09/30/2022 05:01:57 PM</t>
  </si>
  <si>
    <t>Som Tech Lead for prosjektet kunne vi kanskje sett at konsulenten hadde tatt mer ansvar for kompentansedeling</t>
  </si>
  <si>
    <t>Ja, men må følge anbudsreglene i organisasjonen</t>
  </si>
  <si>
    <t>09/30/2022 01:58:56 PM</t>
  </si>
  <si>
    <t>Espen er faglig dyktig, konstruktiv og et veldig positivt tilskudd.</t>
  </si>
  <si>
    <t>09/30/2022 12:01:02 PM</t>
  </si>
  <si>
    <t>Kvalitet er veldig bra</t>
  </si>
  <si>
    <t>Har ikke hatt kontakt med noen :-)</t>
  </si>
  <si>
    <t>09/30/2022 11:43:43 AM</t>
  </si>
  <si>
    <t>Kunne kanskje vært litt sterkere på DDD</t>
  </si>
  <si>
    <t>Anton er veldig enkel å samarbeide med</t>
  </si>
  <si>
    <t>Ikke relevant, har ikke noe samarbeid/oppfølging med JProfessionals, går via Computas</t>
  </si>
  <si>
    <t>Generelt dyrt med konsulenter, men Anton leverer veldig bra så litt vanskelig å svare, la meg derfor på midten</t>
  </si>
  <si>
    <t>09/30/2022 10:13:13 AM</t>
  </si>
  <si>
    <t>09/29/2022 08:45:23 AM</t>
  </si>
  <si>
    <t>Dejan er svært kompetent og gjør en strålende jobb!</t>
  </si>
  <si>
    <t>Ikke akkurat nå</t>
  </si>
  <si>
    <t>09/29/2022 07:49:28 AM</t>
  </si>
  <si>
    <t>Kartverket</t>
  </si>
  <si>
    <t>Kunnskap om bruk av kafka i store miljøer  ellers har de vært flinke/raske til å sette seg inn i ny teknologi</t>
  </si>
  <si>
    <t>Har ikke vært fokus på kompetansedeling hos oss</t>
  </si>
  <si>
    <t>Et lite minus er at konsulentene kun har vært 1 dag i uken hos oss på kontoret på Hønefoss</t>
  </si>
  <si>
    <t>Veldig bra</t>
  </si>
  <si>
    <t>De er dyre, men det ser ut til at tilsvarende kompetanse hos andre selskaper også er noenlunde på samme nivå</t>
  </si>
  <si>
    <t>09/28/2022 09:38:49 PM</t>
  </si>
  <si>
    <t>09/28/2022 12:16:48 PM</t>
  </si>
  <si>
    <t>Går grundig og konsentrert inn i oppgavene, og ser ut til å fullføre dem.</t>
  </si>
  <si>
    <t>Bringer kompetanse inn i teamet fra tidligere erfaringer som er verdifull. God forståelse for hvordan utføre standardoppgaver.</t>
  </si>
  <si>
    <t>Deler villig vekk av sin erfaring. Deltar lett i par-koding.</t>
  </si>
  <si>
    <t>Sosialt en veldig fin fyr, bidrar personlig med sosiale initiativ.  Oppmerksom og følger lett gi hint om retninger og ønsker fra ledelsen i teamet.</t>
  </si>
  <si>
    <t>Ingen ting å utsette.</t>
  </si>
  <si>
    <t>Prisen ligger nok litt høyt om en sammenligner, men en får valuta for pengene.</t>
  </si>
  <si>
    <t>Epost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</si>
</sst>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ss"/>
    <numFmt numFmtId="165" formatCode="d/m/yyyy hh:mm:ss"/>
    <numFmt numFmtId="166" formatCode="dd/mm/yyyy hh:mm:ss"/>
  </numFmts>
  <fonts count="4">
    <font>
      <sz val="10.0"/>
      <color rgb="FF000000"/>
      <name val="Arial"/>
      <scheme val="minor"/>
    </font>
    <font>
      <b/>
      <color theme="1"/>
      <name val="Arial"/>
      <scheme val="minor"/>
    </font>
    <font>
      <color theme="1"/>
      <name val="Arial"/>
      <scheme val="minor"/>
    </font>
    <font>
      <sz val="9.0"/>
      <color rgb="FF000000"/>
      <name val="&quot;Google Sans Mono&quot;"/>
    </font>
  </fonts>
  <fills count="5">
    <fill>
      <patternFill patternType="none"/>
    </fill>
    <fill>
      <patternFill patternType="lightGray"/>
    </fill>
    <fill>
      <patternFill patternType="solid">
        <fgColor rgb="FFDDDDDD"/>
        <bgColor rgb="FFDDDDDD"/>
      </patternFill>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0" xfId="0" applyFont="1"/>
    <xf borderId="0" fillId="3" fontId="3" numFmtId="0" xfId="0" applyFill="1" applyFont="1"/>
    <xf borderId="0" fillId="3" fontId="2" numFmtId="0" xfId="0" applyFont="1"/>
    <xf borderId="0" fillId="3" fontId="1" numFmtId="0" xfId="0" applyAlignment="1" applyFont="1">
      <alignment readingOrder="0" vertical="center"/>
    </xf>
    <xf borderId="0" fillId="4" fontId="3" numFmtId="0" xfId="0" applyFill="1" applyFont="1"/>
    <xf borderId="0" fillId="0" fontId="2" numFmtId="0" xfId="0" applyAlignment="1" applyFont="1">
      <alignment shrinkToFit="0" wrapText="1"/>
    </xf>
    <xf borderId="0" fillId="0" fontId="2" numFmtId="164" xfId="0" applyFont="1" applyNumberFormat="1"/>
    <xf borderId="0" fillId="0" fontId="2" numFmtId="165" xfId="0" applyAlignment="1" applyFont="1" applyNumberFormat="1">
      <alignment readingOrder="0"/>
    </xf>
    <xf borderId="0" fillId="0" fontId="2" numFmtId="166" xfId="0" applyAlignment="1" applyFont="1" applyNumberFormat="1">
      <alignment readingOrder="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13</v>
      </c>
      <c r="P1" s="1" t="s">
        <v>13</v>
      </c>
      <c r="Q1" s="1" t="s">
        <v>13</v>
      </c>
      <c r="R1" s="1" t="s">
        <v>13</v>
      </c>
      <c r="S1" s="1" t="s">
        <v>13</v>
      </c>
      <c r="T1" s="1" t="s">
        <v>13</v>
      </c>
      <c r="U1" s="1" t="s">
        <v>13</v>
      </c>
      <c r="V1" s="1" t="s">
        <v>13</v>
      </c>
      <c r="W1" s="1" t="s">
        <v>13</v>
      </c>
      <c r="X1" s="1" t="s">
        <v>13</v>
      </c>
      <c r="Y1" s="1" t="s">
        <v>13</v>
      </c>
      <c r="Z1" s="1" t="s">
        <v>13</v>
      </c>
      <c r="AA1" s="1" t="s">
        <v>13</v>
      </c>
      <c r="AB1" s="1" t="s">
        <v>13</v>
      </c>
      <c r="AC1" s="1" t="s">
        <v>13</v>
      </c>
      <c r="AD1" s="1" t="s">
        <v>13</v>
      </c>
      <c r="AE1" s="1" t="s">
        <v>13</v>
      </c>
      <c r="AF1" s="1" t="s">
        <v>13</v>
      </c>
      <c r="AG1" s="1" t="s">
        <v>14</v>
      </c>
      <c r="AH1" s="1" t="s">
        <v>15</v>
      </c>
      <c r="AI1" s="1" t="s">
        <v>16</v>
      </c>
      <c r="AJ1" s="1" t="s">
        <v>17</v>
      </c>
      <c r="AK1" s="1" t="s">
        <v>18</v>
      </c>
      <c r="AL1" s="1" t="s">
        <v>19</v>
      </c>
      <c r="AM1" s="1" t="s">
        <v>20</v>
      </c>
      <c r="AN1" s="1" t="s">
        <v>21</v>
      </c>
      <c r="AO1" s="1" t="s">
        <v>22</v>
      </c>
      <c r="AP1" s="1" t="s">
        <v>23</v>
      </c>
      <c r="AQ1" s="1" t="s">
        <v>24</v>
      </c>
      <c r="AR1" s="1" t="s">
        <v>25</v>
      </c>
      <c r="AS1" s="1" t="s">
        <v>26</v>
      </c>
    </row>
    <row r="2">
      <c r="A2" s="2">
        <v>1.14735374663E11</v>
      </c>
      <c r="B2" s="3">
        <v>45609.534421296295</v>
      </c>
      <c r="C2" s="3">
        <v>45609.537210648145</v>
      </c>
      <c r="D2" s="2" t="s">
        <v>27</v>
      </c>
      <c r="E2" s="4">
        <v>240.0</v>
      </c>
      <c r="F2" s="2" t="s">
        <v>28</v>
      </c>
      <c r="G2" s="2" t="s">
        <v>29</v>
      </c>
      <c r="H2" s="2" t="s">
        <v>29</v>
      </c>
      <c r="I2" s="2" t="s">
        <v>29</v>
      </c>
      <c r="J2" s="2">
        <v>4.33598082E8</v>
      </c>
      <c r="K2" s="2" t="s">
        <v>30</v>
      </c>
      <c r="L2" s="2" t="s">
        <v>29</v>
      </c>
      <c r="M2" s="2" t="s">
        <v>31</v>
      </c>
      <c r="N2" s="2" t="s">
        <v>29</v>
      </c>
      <c r="O2" s="2" t="s">
        <v>29</v>
      </c>
      <c r="P2" s="2" t="s">
        <v>29</v>
      </c>
      <c r="Q2" s="2" t="s">
        <v>29</v>
      </c>
      <c r="R2" s="2" t="s">
        <v>29</v>
      </c>
      <c r="S2" s="2" t="s">
        <v>29</v>
      </c>
      <c r="T2" s="2" t="s">
        <v>29</v>
      </c>
      <c r="U2" s="2" t="s">
        <v>29</v>
      </c>
      <c r="V2" s="2" t="s">
        <v>29</v>
      </c>
      <c r="W2" s="2" t="s">
        <v>32</v>
      </c>
      <c r="X2" s="2" t="s">
        <v>29</v>
      </c>
      <c r="Y2" s="2" t="s">
        <v>29</v>
      </c>
      <c r="Z2" s="2" t="s">
        <v>29</v>
      </c>
      <c r="AA2" s="2" t="s">
        <v>29</v>
      </c>
      <c r="AB2" s="2" t="s">
        <v>29</v>
      </c>
      <c r="AC2" s="2" t="s">
        <v>29</v>
      </c>
      <c r="AD2" s="2" t="s">
        <v>29</v>
      </c>
      <c r="AE2" s="2" t="s">
        <v>29</v>
      </c>
      <c r="AF2" s="2" t="s">
        <v>29</v>
      </c>
      <c r="AG2" s="2" t="s">
        <v>33</v>
      </c>
      <c r="AH2" s="2" t="s">
        <v>29</v>
      </c>
      <c r="AI2" s="2" t="s">
        <v>34</v>
      </c>
      <c r="AJ2" s="2" t="s">
        <v>29</v>
      </c>
      <c r="AK2" s="2" t="s">
        <v>33</v>
      </c>
      <c r="AL2" s="2" t="s">
        <v>29</v>
      </c>
      <c r="AM2" s="2" t="s">
        <v>33</v>
      </c>
      <c r="AN2" s="2" t="s">
        <v>29</v>
      </c>
      <c r="AO2" s="2" t="s">
        <v>33</v>
      </c>
      <c r="AP2" s="2" t="s">
        <v>35</v>
      </c>
      <c r="AQ2" s="2" t="s">
        <v>36</v>
      </c>
      <c r="AR2" s="2" t="s">
        <v>29</v>
      </c>
      <c r="AS2" s="2" t="s">
        <v>29</v>
      </c>
    </row>
    <row r="3">
      <c r="A3" s="2">
        <v>1.14714414449E11</v>
      </c>
      <c r="B3" s="3">
        <v>45582.54043981482</v>
      </c>
      <c r="C3" s="3">
        <v>45582.541354166664</v>
      </c>
      <c r="D3" s="2" t="s">
        <v>37</v>
      </c>
      <c r="E3" s="4">
        <v>79.0</v>
      </c>
      <c r="F3" s="2" t="s">
        <v>28</v>
      </c>
      <c r="G3" s="2" t="s">
        <v>29</v>
      </c>
      <c r="H3" s="2" t="s">
        <v>29</v>
      </c>
      <c r="I3" s="2" t="s">
        <v>29</v>
      </c>
      <c r="J3" s="2">
        <v>4.33188881E8</v>
      </c>
      <c r="K3" s="2" t="s">
        <v>30</v>
      </c>
      <c r="L3" s="2" t="s">
        <v>29</v>
      </c>
      <c r="M3" s="2" t="s">
        <v>38</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c r="AC3" s="2" t="s">
        <v>29</v>
      </c>
      <c r="AD3" s="2" t="s">
        <v>29</v>
      </c>
      <c r="AE3" s="2" t="s">
        <v>29</v>
      </c>
      <c r="AF3" s="2" t="s">
        <v>39</v>
      </c>
      <c r="AG3" s="2" t="s">
        <v>33</v>
      </c>
      <c r="AH3" s="2" t="s">
        <v>40</v>
      </c>
      <c r="AI3" s="2" t="s">
        <v>34</v>
      </c>
      <c r="AJ3" s="2" t="s">
        <v>29</v>
      </c>
      <c r="AK3" s="2" t="s">
        <v>33</v>
      </c>
      <c r="AL3" s="2" t="s">
        <v>29</v>
      </c>
      <c r="AM3" s="2" t="s">
        <v>33</v>
      </c>
      <c r="AN3" s="2" t="s">
        <v>29</v>
      </c>
      <c r="AO3" s="2" t="s">
        <v>29</v>
      </c>
      <c r="AP3" s="2" t="s">
        <v>29</v>
      </c>
      <c r="AQ3" s="2" t="s">
        <v>34</v>
      </c>
      <c r="AR3" s="2" t="s">
        <v>29</v>
      </c>
      <c r="AS3" s="2" t="s">
        <v>29</v>
      </c>
    </row>
    <row r="4">
      <c r="A4" s="2">
        <v>1.14714413253E11</v>
      </c>
      <c r="B4" s="3">
        <v>45582.515694444446</v>
      </c>
      <c r="C4" s="3">
        <v>45582.563159722224</v>
      </c>
      <c r="D4" s="2" t="s">
        <v>41</v>
      </c>
      <c r="E4" s="4">
        <v>4100.0</v>
      </c>
      <c r="F4" s="2" t="s">
        <v>28</v>
      </c>
      <c r="G4" s="2" t="s">
        <v>29</v>
      </c>
      <c r="H4" s="2" t="s">
        <v>29</v>
      </c>
      <c r="I4" s="2" t="s">
        <v>29</v>
      </c>
      <c r="J4" s="2">
        <v>4.33188881E8</v>
      </c>
      <c r="K4" s="2" t="s">
        <v>30</v>
      </c>
      <c r="L4" s="2" t="s">
        <v>29</v>
      </c>
      <c r="M4" s="2" t="s">
        <v>42</v>
      </c>
      <c r="N4" s="2" t="s">
        <v>29</v>
      </c>
      <c r="O4" s="2" t="s">
        <v>29</v>
      </c>
      <c r="P4" s="2" t="s">
        <v>29</v>
      </c>
      <c r="Q4" s="2" t="s">
        <v>29</v>
      </c>
      <c r="R4" s="2" t="s">
        <v>29</v>
      </c>
      <c r="S4" s="2" t="s">
        <v>29</v>
      </c>
      <c r="T4" s="2" t="s">
        <v>29</v>
      </c>
      <c r="U4" s="2" t="s">
        <v>29</v>
      </c>
      <c r="V4" s="2" t="s">
        <v>29</v>
      </c>
      <c r="W4" s="2" t="s">
        <v>29</v>
      </c>
      <c r="X4" s="2" t="s">
        <v>29</v>
      </c>
      <c r="Y4" s="2" t="s">
        <v>29</v>
      </c>
      <c r="Z4" s="2" t="s">
        <v>29</v>
      </c>
      <c r="AA4" s="2" t="s">
        <v>43</v>
      </c>
      <c r="AB4" s="2" t="s">
        <v>29</v>
      </c>
      <c r="AC4" s="2" t="s">
        <v>29</v>
      </c>
      <c r="AD4" s="2" t="s">
        <v>29</v>
      </c>
      <c r="AE4" s="2" t="s">
        <v>29</v>
      </c>
      <c r="AF4" s="2" t="s">
        <v>29</v>
      </c>
      <c r="AG4" s="2" t="s">
        <v>33</v>
      </c>
      <c r="AH4" s="2" t="s">
        <v>44</v>
      </c>
      <c r="AI4" s="2" t="s">
        <v>34</v>
      </c>
      <c r="AJ4" s="2" t="s">
        <v>45</v>
      </c>
      <c r="AK4" s="2" t="s">
        <v>33</v>
      </c>
      <c r="AL4" s="2" t="s">
        <v>46</v>
      </c>
      <c r="AM4" s="2" t="s">
        <v>33</v>
      </c>
      <c r="AN4" s="2" t="s">
        <v>47</v>
      </c>
      <c r="AO4" s="2" t="s">
        <v>29</v>
      </c>
      <c r="AP4" s="2" t="s">
        <v>29</v>
      </c>
      <c r="AQ4" s="2" t="s">
        <v>34</v>
      </c>
      <c r="AR4" s="2" t="s">
        <v>29</v>
      </c>
      <c r="AS4" s="2" t="s">
        <v>29</v>
      </c>
    </row>
    <row r="5">
      <c r="A5" s="2">
        <v>1.14714432734E11</v>
      </c>
      <c r="B5" s="3">
        <v>45582.56329861111</v>
      </c>
      <c r="C5" s="3">
        <v>45582.57761574074</v>
      </c>
      <c r="D5" s="2" t="s">
        <v>41</v>
      </c>
      <c r="E5" s="4">
        <v>1236.0</v>
      </c>
      <c r="F5" s="2" t="s">
        <v>28</v>
      </c>
      <c r="G5" s="2" t="s">
        <v>29</v>
      </c>
      <c r="H5" s="2" t="s">
        <v>29</v>
      </c>
      <c r="I5" s="2" t="s">
        <v>29</v>
      </c>
      <c r="J5" s="2">
        <v>4.33188881E8</v>
      </c>
      <c r="K5" s="2" t="s">
        <v>30</v>
      </c>
      <c r="L5" s="2" t="s">
        <v>29</v>
      </c>
      <c r="M5" s="2" t="s">
        <v>42</v>
      </c>
      <c r="N5" s="2" t="s">
        <v>29</v>
      </c>
      <c r="O5" s="2" t="s">
        <v>29</v>
      </c>
      <c r="P5" s="2" t="s">
        <v>29</v>
      </c>
      <c r="Q5" s="2" t="s">
        <v>29</v>
      </c>
      <c r="R5" s="2" t="s">
        <v>29</v>
      </c>
      <c r="S5" s="2" t="s">
        <v>29</v>
      </c>
      <c r="T5" s="2" t="s">
        <v>29</v>
      </c>
      <c r="U5" s="2" t="s">
        <v>29</v>
      </c>
      <c r="V5" s="2" t="s">
        <v>29</v>
      </c>
      <c r="W5" s="2" t="s">
        <v>29</v>
      </c>
      <c r="X5" s="2" t="s">
        <v>29</v>
      </c>
      <c r="Y5" s="2" t="s">
        <v>29</v>
      </c>
      <c r="Z5" s="2" t="s">
        <v>29</v>
      </c>
      <c r="AA5" s="2" t="s">
        <v>48</v>
      </c>
      <c r="AB5" s="2" t="s">
        <v>29</v>
      </c>
      <c r="AC5" s="2" t="s">
        <v>29</v>
      </c>
      <c r="AD5" s="2" t="s">
        <v>29</v>
      </c>
      <c r="AE5" s="2" t="s">
        <v>29</v>
      </c>
      <c r="AF5" s="2" t="s">
        <v>29</v>
      </c>
      <c r="AG5" s="2" t="s">
        <v>33</v>
      </c>
      <c r="AH5" s="2" t="s">
        <v>49</v>
      </c>
      <c r="AI5" s="2" t="s">
        <v>34</v>
      </c>
      <c r="AJ5" s="2" t="s">
        <v>50</v>
      </c>
      <c r="AK5" s="2" t="s">
        <v>33</v>
      </c>
      <c r="AL5" s="2" t="s">
        <v>51</v>
      </c>
      <c r="AM5" s="2" t="s">
        <v>33</v>
      </c>
      <c r="AN5" s="2" t="s">
        <v>52</v>
      </c>
      <c r="AO5" s="2" t="s">
        <v>29</v>
      </c>
      <c r="AP5" s="2" t="s">
        <v>29</v>
      </c>
      <c r="AQ5" s="2" t="s">
        <v>34</v>
      </c>
      <c r="AR5" s="2" t="s">
        <v>29</v>
      </c>
      <c r="AS5" s="2" t="s">
        <v>29</v>
      </c>
    </row>
    <row r="6">
      <c r="A6" s="2">
        <v>1.14714444954E11</v>
      </c>
      <c r="B6" s="3">
        <v>45582.57800925926</v>
      </c>
      <c r="C6" s="3">
        <v>45582.57815972222</v>
      </c>
      <c r="D6" s="2" t="s">
        <v>41</v>
      </c>
      <c r="E6" s="4">
        <v>12.0</v>
      </c>
      <c r="F6" s="2" t="s">
        <v>53</v>
      </c>
      <c r="G6" s="2" t="s">
        <v>29</v>
      </c>
      <c r="H6" s="2" t="s">
        <v>29</v>
      </c>
      <c r="I6" s="2" t="s">
        <v>29</v>
      </c>
      <c r="J6" s="2">
        <v>4.33188881E8</v>
      </c>
      <c r="K6" s="2" t="s">
        <v>30</v>
      </c>
      <c r="L6" s="2" t="s">
        <v>29</v>
      </c>
      <c r="M6" s="2" t="s">
        <v>42</v>
      </c>
      <c r="N6" s="2" t="s">
        <v>29</v>
      </c>
      <c r="O6" s="2" t="s">
        <v>29</v>
      </c>
      <c r="P6" s="2" t="s">
        <v>29</v>
      </c>
      <c r="Q6" s="2" t="s">
        <v>29</v>
      </c>
      <c r="R6" s="2" t="s">
        <v>29</v>
      </c>
      <c r="S6" s="2" t="s">
        <v>29</v>
      </c>
      <c r="T6" s="2" t="s">
        <v>29</v>
      </c>
      <c r="U6" s="2" t="s">
        <v>29</v>
      </c>
      <c r="V6" s="2" t="s">
        <v>29</v>
      </c>
      <c r="W6" s="2" t="s">
        <v>29</v>
      </c>
      <c r="X6" s="2" t="s">
        <v>29</v>
      </c>
      <c r="Y6" s="2" t="s">
        <v>29</v>
      </c>
      <c r="Z6" s="2" t="s">
        <v>29</v>
      </c>
      <c r="AA6" s="2" t="s">
        <v>48</v>
      </c>
      <c r="AB6" s="2" t="s">
        <v>29</v>
      </c>
      <c r="AC6" s="2" t="s">
        <v>29</v>
      </c>
      <c r="AD6" s="2" t="s">
        <v>29</v>
      </c>
      <c r="AE6" s="2" t="s">
        <v>29</v>
      </c>
      <c r="AF6" s="2" t="s">
        <v>29</v>
      </c>
      <c r="AG6" s="2" t="s">
        <v>29</v>
      </c>
      <c r="AH6" s="2" t="s">
        <v>29</v>
      </c>
      <c r="AI6" s="2" t="s">
        <v>29</v>
      </c>
      <c r="AJ6" s="2" t="s">
        <v>29</v>
      </c>
      <c r="AK6" s="2" t="s">
        <v>29</v>
      </c>
      <c r="AL6" s="2" t="s">
        <v>29</v>
      </c>
      <c r="AM6" s="2" t="s">
        <v>29</v>
      </c>
      <c r="AN6" s="2" t="s">
        <v>29</v>
      </c>
      <c r="AO6" s="2" t="s">
        <v>29</v>
      </c>
      <c r="AP6" s="2" t="s">
        <v>29</v>
      </c>
      <c r="AQ6" s="2" t="s">
        <v>29</v>
      </c>
      <c r="AR6" s="2" t="s">
        <v>29</v>
      </c>
      <c r="AS6" s="2" t="s">
        <v>29</v>
      </c>
    </row>
    <row r="7">
      <c r="A7" s="2">
        <v>1.14714509378E11</v>
      </c>
      <c r="B7" s="3">
        <v>45582.63717592593</v>
      </c>
      <c r="C7" s="3">
        <v>45582.648506944446</v>
      </c>
      <c r="D7" s="2" t="s">
        <v>54</v>
      </c>
      <c r="E7" s="4">
        <v>978.0</v>
      </c>
      <c r="F7" s="2" t="s">
        <v>28</v>
      </c>
      <c r="G7" s="2" t="s">
        <v>29</v>
      </c>
      <c r="H7" s="2" t="s">
        <v>29</v>
      </c>
      <c r="I7" s="2" t="s">
        <v>29</v>
      </c>
      <c r="J7" s="2">
        <v>4.33188881E8</v>
      </c>
      <c r="K7" s="2" t="s">
        <v>30</v>
      </c>
      <c r="L7" s="2" t="s">
        <v>29</v>
      </c>
      <c r="M7" s="2" t="s">
        <v>55</v>
      </c>
      <c r="N7" s="2" t="s">
        <v>29</v>
      </c>
      <c r="O7" s="2" t="s">
        <v>29</v>
      </c>
      <c r="P7" s="2" t="s">
        <v>29</v>
      </c>
      <c r="Q7" s="2" t="s">
        <v>29</v>
      </c>
      <c r="R7" s="2" t="s">
        <v>56</v>
      </c>
      <c r="S7" s="2" t="s">
        <v>29</v>
      </c>
      <c r="T7" s="2" t="s">
        <v>29</v>
      </c>
      <c r="U7" s="2" t="s">
        <v>29</v>
      </c>
      <c r="V7" s="2" t="s">
        <v>29</v>
      </c>
      <c r="W7" s="2" t="s">
        <v>29</v>
      </c>
      <c r="X7" s="2" t="s">
        <v>29</v>
      </c>
      <c r="Y7" s="2" t="s">
        <v>29</v>
      </c>
      <c r="Z7" s="2" t="s">
        <v>29</v>
      </c>
      <c r="AA7" s="2" t="s">
        <v>29</v>
      </c>
      <c r="AB7" s="2" t="s">
        <v>29</v>
      </c>
      <c r="AC7" s="2" t="s">
        <v>29</v>
      </c>
      <c r="AD7" s="2" t="s">
        <v>29</v>
      </c>
      <c r="AE7" s="2" t="s">
        <v>29</v>
      </c>
      <c r="AF7" s="2" t="s">
        <v>29</v>
      </c>
      <c r="AG7" s="2" t="s">
        <v>33</v>
      </c>
      <c r="AH7" s="2" t="s">
        <v>57</v>
      </c>
      <c r="AI7" s="2" t="s">
        <v>34</v>
      </c>
      <c r="AJ7" s="2" t="s">
        <v>58</v>
      </c>
      <c r="AK7" s="2" t="s">
        <v>59</v>
      </c>
      <c r="AL7" s="2" t="s">
        <v>60</v>
      </c>
      <c r="AM7" s="2" t="s">
        <v>33</v>
      </c>
      <c r="AN7" s="2" t="s">
        <v>61</v>
      </c>
      <c r="AO7" s="2" t="s">
        <v>59</v>
      </c>
      <c r="AP7" s="2" t="s">
        <v>62</v>
      </c>
      <c r="AQ7" s="2" t="s">
        <v>36</v>
      </c>
      <c r="AR7" s="2" t="s">
        <v>63</v>
      </c>
      <c r="AS7" s="2" t="s">
        <v>64</v>
      </c>
    </row>
    <row r="8">
      <c r="A8" s="2">
        <v>1.14714523977E11</v>
      </c>
      <c r="B8" s="3">
        <v>45582.6487037037</v>
      </c>
      <c r="C8" s="3">
        <v>45582.65287037037</v>
      </c>
      <c r="D8" s="2" t="s">
        <v>54</v>
      </c>
      <c r="E8" s="4">
        <v>360.0</v>
      </c>
      <c r="F8" s="2" t="s">
        <v>28</v>
      </c>
      <c r="G8" s="2" t="s">
        <v>29</v>
      </c>
      <c r="H8" s="2" t="s">
        <v>29</v>
      </c>
      <c r="I8" s="2" t="s">
        <v>29</v>
      </c>
      <c r="J8" s="2">
        <v>4.33188881E8</v>
      </c>
      <c r="K8" s="2" t="s">
        <v>30</v>
      </c>
      <c r="L8" s="2" t="s">
        <v>29</v>
      </c>
      <c r="M8" s="2" t="s">
        <v>55</v>
      </c>
      <c r="N8" s="2" t="s">
        <v>29</v>
      </c>
      <c r="O8" s="2" t="s">
        <v>29</v>
      </c>
      <c r="P8" s="2" t="s">
        <v>29</v>
      </c>
      <c r="Q8" s="2" t="s">
        <v>29</v>
      </c>
      <c r="R8" s="2" t="s">
        <v>65</v>
      </c>
      <c r="S8" s="2" t="s">
        <v>29</v>
      </c>
      <c r="T8" s="2" t="s">
        <v>29</v>
      </c>
      <c r="U8" s="2" t="s">
        <v>29</v>
      </c>
      <c r="V8" s="2" t="s">
        <v>29</v>
      </c>
      <c r="W8" s="2" t="s">
        <v>29</v>
      </c>
      <c r="X8" s="2" t="s">
        <v>29</v>
      </c>
      <c r="Y8" s="2" t="s">
        <v>29</v>
      </c>
      <c r="Z8" s="2" t="s">
        <v>29</v>
      </c>
      <c r="AA8" s="2" t="s">
        <v>29</v>
      </c>
      <c r="AB8" s="2" t="s">
        <v>29</v>
      </c>
      <c r="AC8" s="2" t="s">
        <v>29</v>
      </c>
      <c r="AD8" s="2" t="s">
        <v>29</v>
      </c>
      <c r="AE8" s="2" t="s">
        <v>29</v>
      </c>
      <c r="AF8" s="2" t="s">
        <v>29</v>
      </c>
      <c r="AG8" s="2" t="s">
        <v>33</v>
      </c>
      <c r="AH8" s="2" t="s">
        <v>66</v>
      </c>
      <c r="AI8" s="2" t="s">
        <v>34</v>
      </c>
      <c r="AJ8" s="2" t="s">
        <v>67</v>
      </c>
      <c r="AK8" s="2" t="s">
        <v>59</v>
      </c>
      <c r="AL8" s="2" t="s">
        <v>68</v>
      </c>
      <c r="AM8" s="2" t="s">
        <v>33</v>
      </c>
      <c r="AN8" s="2" t="s">
        <v>69</v>
      </c>
      <c r="AO8" s="2" t="s">
        <v>59</v>
      </c>
      <c r="AP8" s="2" t="s">
        <v>70</v>
      </c>
      <c r="AQ8" s="2" t="s">
        <v>36</v>
      </c>
      <c r="AR8" s="2" t="s">
        <v>71</v>
      </c>
      <c r="AS8" s="2" t="s">
        <v>72</v>
      </c>
    </row>
    <row r="9">
      <c r="A9" s="2">
        <v>1.1471650034E11</v>
      </c>
      <c r="B9" s="3">
        <v>45585.556805555556</v>
      </c>
      <c r="C9" s="3">
        <v>45585.55824074074</v>
      </c>
      <c r="D9" s="2" t="s">
        <v>73</v>
      </c>
      <c r="E9" s="4">
        <v>123.0</v>
      </c>
      <c r="F9" s="2" t="s">
        <v>28</v>
      </c>
      <c r="G9" s="2" t="s">
        <v>29</v>
      </c>
      <c r="H9" s="2" t="s">
        <v>29</v>
      </c>
      <c r="I9" s="2" t="s">
        <v>29</v>
      </c>
      <c r="J9" s="2">
        <v>4.33188881E8</v>
      </c>
      <c r="K9" s="2" t="s">
        <v>30</v>
      </c>
      <c r="L9" s="2" t="s">
        <v>29</v>
      </c>
      <c r="M9" s="2" t="s">
        <v>74</v>
      </c>
      <c r="N9" s="2" t="s">
        <v>29</v>
      </c>
      <c r="O9" s="2" t="s">
        <v>29</v>
      </c>
      <c r="P9" s="2" t="s">
        <v>29</v>
      </c>
      <c r="Q9" s="2" t="s">
        <v>29</v>
      </c>
      <c r="R9" s="2" t="s">
        <v>29</v>
      </c>
      <c r="S9" s="2" t="s">
        <v>29</v>
      </c>
      <c r="T9" s="2" t="s">
        <v>29</v>
      </c>
      <c r="U9" s="2" t="s">
        <v>75</v>
      </c>
      <c r="V9" s="2" t="s">
        <v>29</v>
      </c>
      <c r="W9" s="2" t="s">
        <v>29</v>
      </c>
      <c r="X9" s="2" t="s">
        <v>29</v>
      </c>
      <c r="Y9" s="2" t="s">
        <v>29</v>
      </c>
      <c r="Z9" s="2" t="s">
        <v>29</v>
      </c>
      <c r="AA9" s="2" t="s">
        <v>29</v>
      </c>
      <c r="AB9" s="2" t="s">
        <v>29</v>
      </c>
      <c r="AC9" s="2" t="s">
        <v>29</v>
      </c>
      <c r="AD9" s="2" t="s">
        <v>29</v>
      </c>
      <c r="AE9" s="2" t="s">
        <v>29</v>
      </c>
      <c r="AF9" s="2" t="s">
        <v>29</v>
      </c>
      <c r="AG9" s="2" t="s">
        <v>33</v>
      </c>
      <c r="AH9" s="2" t="s">
        <v>29</v>
      </c>
      <c r="AI9" s="2" t="s">
        <v>34</v>
      </c>
      <c r="AJ9" s="2" t="s">
        <v>76</v>
      </c>
      <c r="AK9" s="2" t="s">
        <v>33</v>
      </c>
      <c r="AL9" s="2" t="s">
        <v>77</v>
      </c>
      <c r="AM9" s="2" t="s">
        <v>33</v>
      </c>
      <c r="AN9" s="2" t="s">
        <v>78</v>
      </c>
      <c r="AO9" s="2" t="s">
        <v>33</v>
      </c>
      <c r="AP9" s="2" t="s">
        <v>79</v>
      </c>
      <c r="AQ9" s="2" t="s">
        <v>34</v>
      </c>
      <c r="AR9" s="2" t="s">
        <v>80</v>
      </c>
      <c r="AS9" s="2" t="s">
        <v>29</v>
      </c>
    </row>
    <row r="10">
      <c r="A10" s="2">
        <v>1.14718049141E11</v>
      </c>
      <c r="B10" s="3">
        <v>45587.63888888889</v>
      </c>
      <c r="C10" s="3">
        <v>45587.63905092593</v>
      </c>
      <c r="D10" s="2" t="s">
        <v>81</v>
      </c>
      <c r="E10" s="4">
        <v>14.0</v>
      </c>
      <c r="F10" s="2" t="s">
        <v>53</v>
      </c>
      <c r="G10" s="2" t="s">
        <v>29</v>
      </c>
      <c r="H10" s="2" t="s">
        <v>29</v>
      </c>
      <c r="I10" s="2" t="s">
        <v>29</v>
      </c>
      <c r="J10" s="2">
        <v>4.33188881E8</v>
      </c>
      <c r="K10" s="2" t="s">
        <v>30</v>
      </c>
      <c r="L10" s="2" t="s">
        <v>29</v>
      </c>
      <c r="M10" s="2" t="s">
        <v>82</v>
      </c>
      <c r="N10" s="2" t="s">
        <v>29</v>
      </c>
      <c r="O10" s="2" t="s">
        <v>83</v>
      </c>
      <c r="P10" s="2" t="s">
        <v>29</v>
      </c>
      <c r="Q10" s="2" t="s">
        <v>29</v>
      </c>
      <c r="R10" s="2" t="s">
        <v>29</v>
      </c>
      <c r="S10" s="2" t="s">
        <v>29</v>
      </c>
      <c r="T10" s="2" t="s">
        <v>29</v>
      </c>
      <c r="U10" s="2" t="s">
        <v>29</v>
      </c>
      <c r="V10" s="2" t="s">
        <v>29</v>
      </c>
      <c r="W10" s="2" t="s">
        <v>29</v>
      </c>
      <c r="X10" s="2" t="s">
        <v>29</v>
      </c>
      <c r="Y10" s="2" t="s">
        <v>29</v>
      </c>
      <c r="Z10" s="2" t="s">
        <v>29</v>
      </c>
      <c r="AA10" s="2" t="s">
        <v>29</v>
      </c>
      <c r="AB10" s="2" t="s">
        <v>29</v>
      </c>
      <c r="AC10" s="2" t="s">
        <v>29</v>
      </c>
      <c r="AD10" s="2" t="s">
        <v>29</v>
      </c>
      <c r="AE10" s="2" t="s">
        <v>29</v>
      </c>
      <c r="AF10" s="2" t="s">
        <v>29</v>
      </c>
      <c r="AG10" s="2" t="s">
        <v>29</v>
      </c>
      <c r="AH10" s="2" t="s">
        <v>29</v>
      </c>
      <c r="AI10" s="2" t="s">
        <v>29</v>
      </c>
      <c r="AJ10" s="2" t="s">
        <v>29</v>
      </c>
      <c r="AK10" s="2" t="s">
        <v>29</v>
      </c>
      <c r="AL10" s="2" t="s">
        <v>29</v>
      </c>
      <c r="AM10" s="2" t="s">
        <v>29</v>
      </c>
      <c r="AN10" s="2" t="s">
        <v>29</v>
      </c>
      <c r="AO10" s="2" t="s">
        <v>29</v>
      </c>
      <c r="AP10" s="2" t="s">
        <v>29</v>
      </c>
      <c r="AQ10" s="2" t="s">
        <v>29</v>
      </c>
      <c r="AR10" s="2" t="s">
        <v>29</v>
      </c>
      <c r="AS10" s="2" t="s">
        <v>29</v>
      </c>
    </row>
    <row r="11">
      <c r="A11" s="2">
        <v>1.14718079755E11</v>
      </c>
      <c r="B11" s="3">
        <v>45587.66193287037</v>
      </c>
      <c r="C11" s="3">
        <v>45587.66202546296</v>
      </c>
      <c r="D11" s="2" t="s">
        <v>84</v>
      </c>
      <c r="E11" s="4">
        <v>7.0</v>
      </c>
      <c r="F11" s="2" t="s">
        <v>53</v>
      </c>
      <c r="G11" s="2" t="s">
        <v>29</v>
      </c>
      <c r="H11" s="2" t="s">
        <v>29</v>
      </c>
      <c r="I11" s="2" t="s">
        <v>29</v>
      </c>
      <c r="J11" s="2">
        <v>4.33188881E8</v>
      </c>
      <c r="K11" s="2" t="s">
        <v>30</v>
      </c>
      <c r="L11" s="2" t="s">
        <v>29</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c r="AC11" s="2" t="s">
        <v>29</v>
      </c>
      <c r="AD11" s="2" t="s">
        <v>29</v>
      </c>
      <c r="AE11" s="2" t="s">
        <v>29</v>
      </c>
      <c r="AF11" s="2" t="s">
        <v>29</v>
      </c>
      <c r="AG11" s="2" t="s">
        <v>29</v>
      </c>
      <c r="AH11" s="2" t="s">
        <v>29</v>
      </c>
      <c r="AI11" s="2" t="s">
        <v>29</v>
      </c>
      <c r="AJ11" s="2" t="s">
        <v>29</v>
      </c>
      <c r="AK11" s="2" t="s">
        <v>29</v>
      </c>
      <c r="AL11" s="2" t="s">
        <v>29</v>
      </c>
      <c r="AM11" s="2" t="s">
        <v>29</v>
      </c>
      <c r="AN11" s="2" t="s">
        <v>29</v>
      </c>
      <c r="AO11" s="2" t="s">
        <v>29</v>
      </c>
      <c r="AP11" s="2" t="s">
        <v>29</v>
      </c>
      <c r="AQ11" s="2" t="s">
        <v>29</v>
      </c>
      <c r="AR11" s="2" t="s">
        <v>29</v>
      </c>
      <c r="AS11" s="2" t="s">
        <v>29</v>
      </c>
    </row>
    <row r="12">
      <c r="A12" s="2">
        <v>1.14718956197E11</v>
      </c>
      <c r="B12" s="3">
        <v>45588.56618055556</v>
      </c>
      <c r="C12" s="3">
        <v>45588.57142361111</v>
      </c>
      <c r="D12" s="2" t="s">
        <v>85</v>
      </c>
      <c r="E12" s="4">
        <v>453.0</v>
      </c>
      <c r="F12" s="2" t="s">
        <v>28</v>
      </c>
      <c r="G12" s="2" t="s">
        <v>29</v>
      </c>
      <c r="H12" s="2" t="s">
        <v>29</v>
      </c>
      <c r="I12" s="2" t="s">
        <v>29</v>
      </c>
      <c r="J12" s="2">
        <v>4.33188881E8</v>
      </c>
      <c r="K12" s="2" t="s">
        <v>30</v>
      </c>
      <c r="L12" s="2" t="s">
        <v>29</v>
      </c>
      <c r="M12" s="2" t="s">
        <v>86</v>
      </c>
      <c r="N12" s="2" t="s">
        <v>29</v>
      </c>
      <c r="O12" s="2" t="s">
        <v>29</v>
      </c>
      <c r="P12" s="2" t="s">
        <v>29</v>
      </c>
      <c r="Q12" s="2" t="s">
        <v>29</v>
      </c>
      <c r="R12" s="2" t="s">
        <v>29</v>
      </c>
      <c r="S12" s="2" t="s">
        <v>29</v>
      </c>
      <c r="T12" s="2" t="s">
        <v>29</v>
      </c>
      <c r="U12" s="2" t="s">
        <v>29</v>
      </c>
      <c r="V12" s="2" t="s">
        <v>29</v>
      </c>
      <c r="W12" s="2" t="s">
        <v>29</v>
      </c>
      <c r="X12" s="2" t="s">
        <v>29</v>
      </c>
      <c r="Y12" s="2" t="s">
        <v>87</v>
      </c>
      <c r="Z12" s="2" t="s">
        <v>29</v>
      </c>
      <c r="AA12" s="2" t="s">
        <v>29</v>
      </c>
      <c r="AB12" s="2" t="s">
        <v>29</v>
      </c>
      <c r="AC12" s="2" t="s">
        <v>29</v>
      </c>
      <c r="AD12" s="2" t="s">
        <v>29</v>
      </c>
      <c r="AE12" s="2" t="s">
        <v>29</v>
      </c>
      <c r="AF12" s="2" t="s">
        <v>29</v>
      </c>
      <c r="AG12" s="2" t="s">
        <v>33</v>
      </c>
      <c r="AH12" s="2" t="s">
        <v>88</v>
      </c>
      <c r="AI12" s="2" t="s">
        <v>34</v>
      </c>
      <c r="AJ12" s="2" t="s">
        <v>89</v>
      </c>
      <c r="AK12" s="2" t="s">
        <v>33</v>
      </c>
      <c r="AL12" s="2" t="s">
        <v>90</v>
      </c>
      <c r="AM12" s="2" t="s">
        <v>33</v>
      </c>
      <c r="AN12" s="2" t="s">
        <v>91</v>
      </c>
      <c r="AO12" s="2" t="s">
        <v>29</v>
      </c>
      <c r="AP12" s="2" t="s">
        <v>29</v>
      </c>
      <c r="AQ12" s="2" t="s">
        <v>36</v>
      </c>
      <c r="AR12" s="2" t="s">
        <v>92</v>
      </c>
      <c r="AS12" s="2" t="s">
        <v>93</v>
      </c>
    </row>
    <row r="13">
      <c r="A13" s="2">
        <v>1.14719061196E11</v>
      </c>
      <c r="B13" s="3">
        <v>45588.657546296294</v>
      </c>
      <c r="C13" s="3">
        <v>45588.66425925926</v>
      </c>
      <c r="D13" s="2" t="s">
        <v>81</v>
      </c>
      <c r="E13" s="4">
        <v>580.0</v>
      </c>
      <c r="F13" s="2" t="s">
        <v>28</v>
      </c>
      <c r="G13" s="2" t="s">
        <v>29</v>
      </c>
      <c r="H13" s="2" t="s">
        <v>29</v>
      </c>
      <c r="I13" s="2" t="s">
        <v>29</v>
      </c>
      <c r="J13" s="2">
        <v>4.33188881E8</v>
      </c>
      <c r="K13" s="2" t="s">
        <v>30</v>
      </c>
      <c r="L13" s="2" t="s">
        <v>29</v>
      </c>
      <c r="M13" s="2" t="s">
        <v>82</v>
      </c>
      <c r="N13" s="2" t="s">
        <v>29</v>
      </c>
      <c r="O13" s="2" t="s">
        <v>83</v>
      </c>
      <c r="P13" s="2" t="s">
        <v>29</v>
      </c>
      <c r="Q13" s="2" t="s">
        <v>29</v>
      </c>
      <c r="R13" s="2" t="s">
        <v>29</v>
      </c>
      <c r="S13" s="2" t="s">
        <v>29</v>
      </c>
      <c r="T13" s="2" t="s">
        <v>29</v>
      </c>
      <c r="U13" s="2" t="s">
        <v>29</v>
      </c>
      <c r="V13" s="2" t="s">
        <v>29</v>
      </c>
      <c r="W13" s="2" t="s">
        <v>29</v>
      </c>
      <c r="X13" s="2" t="s">
        <v>29</v>
      </c>
      <c r="Y13" s="2" t="s">
        <v>29</v>
      </c>
      <c r="Z13" s="2" t="s">
        <v>29</v>
      </c>
      <c r="AA13" s="2" t="s">
        <v>29</v>
      </c>
      <c r="AB13" s="2" t="s">
        <v>29</v>
      </c>
      <c r="AC13" s="2" t="s">
        <v>29</v>
      </c>
      <c r="AD13" s="2" t="s">
        <v>29</v>
      </c>
      <c r="AE13" s="2" t="s">
        <v>29</v>
      </c>
      <c r="AF13" s="2" t="s">
        <v>29</v>
      </c>
      <c r="AG13" s="2" t="s">
        <v>94</v>
      </c>
      <c r="AH13" s="2" t="s">
        <v>29</v>
      </c>
      <c r="AI13" s="2" t="s">
        <v>95</v>
      </c>
      <c r="AJ13" s="2" t="s">
        <v>96</v>
      </c>
      <c r="AK13" s="2" t="s">
        <v>59</v>
      </c>
      <c r="AL13" s="2" t="s">
        <v>97</v>
      </c>
      <c r="AM13" s="2" t="s">
        <v>33</v>
      </c>
      <c r="AN13" s="2" t="s">
        <v>29</v>
      </c>
      <c r="AO13" s="2" t="s">
        <v>94</v>
      </c>
      <c r="AP13" s="2" t="s">
        <v>98</v>
      </c>
      <c r="AQ13" s="2" t="s">
        <v>95</v>
      </c>
      <c r="AR13" s="2" t="s">
        <v>99</v>
      </c>
      <c r="AS13" s="2" t="s">
        <v>29</v>
      </c>
    </row>
    <row r="14">
      <c r="A14" s="2">
        <v>1.14722224011E11</v>
      </c>
      <c r="B14" s="3">
        <v>45593.41724537037</v>
      </c>
      <c r="C14" s="3">
        <v>45593.41813657407</v>
      </c>
      <c r="D14" s="2" t="s">
        <v>100</v>
      </c>
      <c r="E14" s="4">
        <v>76.0</v>
      </c>
      <c r="F14" s="2" t="s">
        <v>28</v>
      </c>
      <c r="G14" s="2" t="s">
        <v>29</v>
      </c>
      <c r="H14" s="2" t="s">
        <v>29</v>
      </c>
      <c r="I14" s="2" t="s">
        <v>29</v>
      </c>
      <c r="J14" s="2">
        <v>4.33188881E8</v>
      </c>
      <c r="K14" s="2" t="s">
        <v>30</v>
      </c>
      <c r="L14" s="2" t="s">
        <v>29</v>
      </c>
      <c r="M14" s="2" t="s">
        <v>55</v>
      </c>
      <c r="N14" s="2" t="s">
        <v>29</v>
      </c>
      <c r="O14" s="2" t="s">
        <v>29</v>
      </c>
      <c r="P14" s="2" t="s">
        <v>29</v>
      </c>
      <c r="Q14" s="2" t="s">
        <v>29</v>
      </c>
      <c r="R14" s="2" t="s">
        <v>101</v>
      </c>
      <c r="S14" s="2" t="s">
        <v>29</v>
      </c>
      <c r="T14" s="2" t="s">
        <v>29</v>
      </c>
      <c r="U14" s="2" t="s">
        <v>29</v>
      </c>
      <c r="V14" s="2" t="s">
        <v>29</v>
      </c>
      <c r="W14" s="2" t="s">
        <v>29</v>
      </c>
      <c r="X14" s="2" t="s">
        <v>29</v>
      </c>
      <c r="Y14" s="2" t="s">
        <v>29</v>
      </c>
      <c r="Z14" s="2" t="s">
        <v>29</v>
      </c>
      <c r="AA14" s="2" t="s">
        <v>29</v>
      </c>
      <c r="AB14" s="2" t="s">
        <v>29</v>
      </c>
      <c r="AC14" s="2" t="s">
        <v>29</v>
      </c>
      <c r="AD14" s="2" t="s">
        <v>29</v>
      </c>
      <c r="AE14" s="2" t="s">
        <v>29</v>
      </c>
      <c r="AF14" s="2" t="s">
        <v>29</v>
      </c>
      <c r="AG14" s="2" t="s">
        <v>94</v>
      </c>
      <c r="AH14" s="2" t="s">
        <v>29</v>
      </c>
      <c r="AI14" s="2" t="s">
        <v>34</v>
      </c>
      <c r="AJ14" s="2" t="s">
        <v>29</v>
      </c>
      <c r="AK14" s="2" t="s">
        <v>33</v>
      </c>
      <c r="AL14" s="2" t="s">
        <v>29</v>
      </c>
      <c r="AM14" s="2" t="s">
        <v>94</v>
      </c>
      <c r="AN14" s="2" t="s">
        <v>29</v>
      </c>
      <c r="AO14" s="2" t="s">
        <v>94</v>
      </c>
      <c r="AP14" s="2" t="s">
        <v>29</v>
      </c>
      <c r="AQ14" s="2" t="s">
        <v>34</v>
      </c>
      <c r="AR14" s="2" t="s">
        <v>29</v>
      </c>
      <c r="AS14" s="2" t="s">
        <v>29</v>
      </c>
    </row>
    <row r="15">
      <c r="A15" s="2">
        <v>1.14723478912E11</v>
      </c>
      <c r="B15" s="3">
        <v>45594.68372685185</v>
      </c>
      <c r="C15" s="3">
        <v>45594.69131944444</v>
      </c>
      <c r="D15" s="2" t="s">
        <v>102</v>
      </c>
      <c r="E15" s="4">
        <v>655.0</v>
      </c>
      <c r="F15" s="2" t="s">
        <v>28</v>
      </c>
      <c r="G15" s="2" t="s">
        <v>29</v>
      </c>
      <c r="H15" s="2" t="s">
        <v>29</v>
      </c>
      <c r="I15" s="2" t="s">
        <v>29</v>
      </c>
      <c r="J15" s="2">
        <v>4.33188881E8</v>
      </c>
      <c r="K15" s="2" t="s">
        <v>30</v>
      </c>
      <c r="L15" s="2" t="s">
        <v>29</v>
      </c>
      <c r="M15" s="2" t="s">
        <v>103</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c r="AC15" s="2" t="s">
        <v>29</v>
      </c>
      <c r="AD15" s="2" t="s">
        <v>29</v>
      </c>
      <c r="AE15" s="2" t="s">
        <v>104</v>
      </c>
      <c r="AF15" s="2" t="s">
        <v>29</v>
      </c>
      <c r="AG15" s="2" t="s">
        <v>33</v>
      </c>
      <c r="AH15" s="2" t="s">
        <v>105</v>
      </c>
      <c r="AI15" s="2" t="s">
        <v>34</v>
      </c>
      <c r="AJ15" s="2" t="s">
        <v>106</v>
      </c>
      <c r="AK15" s="2" t="s">
        <v>33</v>
      </c>
      <c r="AL15" s="2" t="s">
        <v>107</v>
      </c>
      <c r="AM15" s="2" t="s">
        <v>33</v>
      </c>
      <c r="AN15" s="2" t="s">
        <v>108</v>
      </c>
      <c r="AO15" s="2" t="s">
        <v>29</v>
      </c>
      <c r="AP15" s="2" t="s">
        <v>109</v>
      </c>
      <c r="AQ15" s="2" t="s">
        <v>110</v>
      </c>
      <c r="AR15" s="2" t="s">
        <v>111</v>
      </c>
      <c r="AS15" s="2" t="s">
        <v>112</v>
      </c>
    </row>
    <row r="16">
      <c r="A16" s="2">
        <v>1.14725189065E11</v>
      </c>
      <c r="B16" s="3">
        <v>45596.431539351855</v>
      </c>
      <c r="C16" s="3">
        <v>45596.44740740741</v>
      </c>
      <c r="D16" s="2" t="s">
        <v>113</v>
      </c>
      <c r="E16" s="4">
        <v>1370.0</v>
      </c>
      <c r="F16" s="2" t="s">
        <v>53</v>
      </c>
      <c r="G16" s="2" t="s">
        <v>29</v>
      </c>
      <c r="H16" s="2" t="s">
        <v>29</v>
      </c>
      <c r="I16" s="2" t="s">
        <v>29</v>
      </c>
      <c r="J16" s="2">
        <v>4.33188881E8</v>
      </c>
      <c r="K16" s="2" t="s">
        <v>30</v>
      </c>
      <c r="L16" s="2" t="s">
        <v>29</v>
      </c>
      <c r="M16" s="2" t="s">
        <v>103</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c r="AC16" s="2" t="s">
        <v>29</v>
      </c>
      <c r="AD16" s="2" t="s">
        <v>29</v>
      </c>
      <c r="AE16" s="2" t="s">
        <v>29</v>
      </c>
      <c r="AF16" s="2" t="s">
        <v>29</v>
      </c>
      <c r="AG16" s="2" t="s">
        <v>29</v>
      </c>
      <c r="AH16" s="2" t="s">
        <v>29</v>
      </c>
      <c r="AI16" s="2" t="s">
        <v>29</v>
      </c>
      <c r="AJ16" s="2" t="s">
        <v>29</v>
      </c>
      <c r="AK16" s="2" t="s">
        <v>29</v>
      </c>
      <c r="AL16" s="2" t="s">
        <v>29</v>
      </c>
      <c r="AM16" s="2" t="s">
        <v>29</v>
      </c>
      <c r="AN16" s="2" t="s">
        <v>29</v>
      </c>
      <c r="AO16" s="2" t="s">
        <v>29</v>
      </c>
      <c r="AP16" s="2" t="s">
        <v>29</v>
      </c>
      <c r="AQ16" s="2" t="s">
        <v>29</v>
      </c>
      <c r="AR16" s="2" t="s">
        <v>29</v>
      </c>
      <c r="AS16" s="2" t="s">
        <v>29</v>
      </c>
    </row>
    <row r="17">
      <c r="A17" s="2">
        <v>1.14726086951E11</v>
      </c>
      <c r="B17" s="3">
        <v>45597.45511574074</v>
      </c>
      <c r="C17" s="3">
        <v>45597.457349537035</v>
      </c>
      <c r="D17" s="2" t="s">
        <v>114</v>
      </c>
      <c r="E17" s="4">
        <v>192.0</v>
      </c>
      <c r="F17" s="2" t="s">
        <v>28</v>
      </c>
      <c r="G17" s="2" t="s">
        <v>29</v>
      </c>
      <c r="H17" s="2" t="s">
        <v>29</v>
      </c>
      <c r="I17" s="2" t="s">
        <v>29</v>
      </c>
      <c r="J17" s="2">
        <v>4.33188881E8</v>
      </c>
      <c r="K17" s="2" t="s">
        <v>30</v>
      </c>
      <c r="L17" s="2" t="s">
        <v>29</v>
      </c>
      <c r="M17" s="2" t="s">
        <v>103</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c r="AC17" s="2" t="s">
        <v>29</v>
      </c>
      <c r="AD17" s="2" t="s">
        <v>29</v>
      </c>
      <c r="AE17" s="2" t="s">
        <v>115</v>
      </c>
      <c r="AF17" s="2" t="s">
        <v>29</v>
      </c>
      <c r="AG17" s="2" t="s">
        <v>33</v>
      </c>
      <c r="AH17" s="2" t="s">
        <v>29</v>
      </c>
      <c r="AI17" s="2" t="s">
        <v>34</v>
      </c>
      <c r="AJ17" s="2" t="s">
        <v>29</v>
      </c>
      <c r="AK17" s="2" t="s">
        <v>33</v>
      </c>
      <c r="AL17" s="2" t="s">
        <v>29</v>
      </c>
      <c r="AM17" s="2" t="s">
        <v>33</v>
      </c>
      <c r="AN17" s="2" t="s">
        <v>29</v>
      </c>
      <c r="AO17" s="2" t="s">
        <v>116</v>
      </c>
      <c r="AP17" s="2" t="s">
        <v>117</v>
      </c>
      <c r="AQ17" s="2" t="s">
        <v>34</v>
      </c>
      <c r="AR17" s="2" t="s">
        <v>29</v>
      </c>
      <c r="AS17" s="2" t="s">
        <v>29</v>
      </c>
    </row>
    <row r="18">
      <c r="A18" s="2">
        <v>1.14727744645E11</v>
      </c>
      <c r="B18" s="3">
        <v>45600.398831018516</v>
      </c>
      <c r="C18" s="3">
        <v>45600.40399305556</v>
      </c>
      <c r="D18" s="2" t="s">
        <v>118</v>
      </c>
      <c r="E18" s="4">
        <v>445.0</v>
      </c>
      <c r="F18" s="2" t="s">
        <v>28</v>
      </c>
      <c r="G18" s="2" t="s">
        <v>29</v>
      </c>
      <c r="H18" s="2" t="s">
        <v>29</v>
      </c>
      <c r="I18" s="2" t="s">
        <v>29</v>
      </c>
      <c r="J18" s="2">
        <v>4.33188881E8</v>
      </c>
      <c r="K18" s="2" t="s">
        <v>30</v>
      </c>
      <c r="L18" s="2" t="s">
        <v>29</v>
      </c>
      <c r="M18" s="2" t="s">
        <v>119</v>
      </c>
      <c r="N18" s="2" t="s">
        <v>29</v>
      </c>
      <c r="O18" s="2" t="s">
        <v>29</v>
      </c>
      <c r="P18" s="2" t="s">
        <v>29</v>
      </c>
      <c r="Q18" s="2" t="s">
        <v>120</v>
      </c>
      <c r="R18" s="2" t="s">
        <v>29</v>
      </c>
      <c r="S18" s="2" t="s">
        <v>29</v>
      </c>
      <c r="T18" s="2" t="s">
        <v>29</v>
      </c>
      <c r="U18" s="2" t="s">
        <v>29</v>
      </c>
      <c r="V18" s="2" t="s">
        <v>29</v>
      </c>
      <c r="W18" s="2" t="s">
        <v>29</v>
      </c>
      <c r="X18" s="2" t="s">
        <v>29</v>
      </c>
      <c r="Y18" s="2" t="s">
        <v>29</v>
      </c>
      <c r="Z18" s="2" t="s">
        <v>29</v>
      </c>
      <c r="AA18" s="2" t="s">
        <v>29</v>
      </c>
      <c r="AB18" s="2" t="s">
        <v>29</v>
      </c>
      <c r="AC18" s="2" t="s">
        <v>29</v>
      </c>
      <c r="AD18" s="2" t="s">
        <v>29</v>
      </c>
      <c r="AE18" s="2" t="s">
        <v>29</v>
      </c>
      <c r="AF18" s="2" t="s">
        <v>29</v>
      </c>
      <c r="AG18" s="2" t="s">
        <v>33</v>
      </c>
      <c r="AH18" s="2" t="s">
        <v>121</v>
      </c>
      <c r="AI18" s="2" t="s">
        <v>34</v>
      </c>
      <c r="AJ18" s="2" t="s">
        <v>29</v>
      </c>
      <c r="AK18" s="2" t="s">
        <v>33</v>
      </c>
      <c r="AL18" s="2" t="s">
        <v>29</v>
      </c>
      <c r="AM18" s="2" t="s">
        <v>33</v>
      </c>
      <c r="AN18" s="2" t="s">
        <v>29</v>
      </c>
      <c r="AO18" s="2" t="s">
        <v>33</v>
      </c>
      <c r="AP18" s="2" t="s">
        <v>29</v>
      </c>
      <c r="AQ18" s="2" t="s">
        <v>36</v>
      </c>
      <c r="AR18" s="2" t="s">
        <v>29</v>
      </c>
      <c r="AS18" s="2" t="s">
        <v>122</v>
      </c>
    </row>
    <row r="19">
      <c r="A19" s="2">
        <v>1.1472774862E11</v>
      </c>
      <c r="B19" s="3">
        <v>45600.404340277775</v>
      </c>
      <c r="C19" s="3">
        <v>45600.40752314815</v>
      </c>
      <c r="D19" s="2" t="s">
        <v>118</v>
      </c>
      <c r="E19" s="4">
        <v>274.0</v>
      </c>
      <c r="F19" s="2" t="s">
        <v>28</v>
      </c>
      <c r="G19" s="2" t="s">
        <v>29</v>
      </c>
      <c r="H19" s="2" t="s">
        <v>29</v>
      </c>
      <c r="I19" s="2" t="s">
        <v>29</v>
      </c>
      <c r="J19" s="2">
        <v>4.33188881E8</v>
      </c>
      <c r="K19" s="2" t="s">
        <v>30</v>
      </c>
      <c r="L19" s="2" t="s">
        <v>29</v>
      </c>
      <c r="M19" s="2" t="s">
        <v>119</v>
      </c>
      <c r="N19" s="2" t="s">
        <v>29</v>
      </c>
      <c r="O19" s="2" t="s">
        <v>29</v>
      </c>
      <c r="P19" s="2" t="s">
        <v>29</v>
      </c>
      <c r="Q19" s="2" t="s">
        <v>123</v>
      </c>
      <c r="R19" s="2" t="s">
        <v>29</v>
      </c>
      <c r="S19" s="2" t="s">
        <v>29</v>
      </c>
      <c r="T19" s="2" t="s">
        <v>29</v>
      </c>
      <c r="U19" s="2" t="s">
        <v>29</v>
      </c>
      <c r="V19" s="2" t="s">
        <v>29</v>
      </c>
      <c r="W19" s="2" t="s">
        <v>29</v>
      </c>
      <c r="X19" s="2" t="s">
        <v>29</v>
      </c>
      <c r="Y19" s="2" t="s">
        <v>29</v>
      </c>
      <c r="Z19" s="2" t="s">
        <v>29</v>
      </c>
      <c r="AA19" s="2" t="s">
        <v>29</v>
      </c>
      <c r="AB19" s="2" t="s">
        <v>29</v>
      </c>
      <c r="AC19" s="2" t="s">
        <v>29</v>
      </c>
      <c r="AD19" s="2" t="s">
        <v>29</v>
      </c>
      <c r="AE19" s="2" t="s">
        <v>29</v>
      </c>
      <c r="AF19" s="2" t="s">
        <v>29</v>
      </c>
      <c r="AG19" s="2" t="s">
        <v>33</v>
      </c>
      <c r="AH19" s="2" t="s">
        <v>124</v>
      </c>
      <c r="AI19" s="2" t="s">
        <v>34</v>
      </c>
      <c r="AJ19" s="2" t="s">
        <v>29</v>
      </c>
      <c r="AK19" s="2" t="s">
        <v>125</v>
      </c>
      <c r="AL19" s="2" t="s">
        <v>29</v>
      </c>
      <c r="AM19" s="2" t="s">
        <v>33</v>
      </c>
      <c r="AN19" s="2" t="s">
        <v>29</v>
      </c>
      <c r="AO19" s="2" t="s">
        <v>33</v>
      </c>
      <c r="AP19" s="2" t="s">
        <v>29</v>
      </c>
      <c r="AQ19" s="2" t="s">
        <v>36</v>
      </c>
      <c r="AR19" s="2" t="s">
        <v>29</v>
      </c>
      <c r="AS19" s="2" t="s">
        <v>122</v>
      </c>
    </row>
    <row r="20">
      <c r="A20" s="2">
        <v>1.14727750916E11</v>
      </c>
      <c r="B20" s="3">
        <v>45600.407638888886</v>
      </c>
      <c r="C20" s="3">
        <v>45600.41074074074</v>
      </c>
      <c r="D20" s="2" t="s">
        <v>118</v>
      </c>
      <c r="E20" s="4">
        <v>267.0</v>
      </c>
      <c r="F20" s="2" t="s">
        <v>28</v>
      </c>
      <c r="G20" s="2" t="s">
        <v>29</v>
      </c>
      <c r="H20" s="2" t="s">
        <v>29</v>
      </c>
      <c r="I20" s="2" t="s">
        <v>29</v>
      </c>
      <c r="J20" s="2">
        <v>4.33188881E8</v>
      </c>
      <c r="K20" s="2" t="s">
        <v>30</v>
      </c>
      <c r="L20" s="2" t="s">
        <v>29</v>
      </c>
      <c r="M20" s="2" t="s">
        <v>119</v>
      </c>
      <c r="N20" s="2" t="s">
        <v>29</v>
      </c>
      <c r="O20" s="2" t="s">
        <v>29</v>
      </c>
      <c r="P20" s="2" t="s">
        <v>29</v>
      </c>
      <c r="Q20" s="2" t="s">
        <v>126</v>
      </c>
      <c r="R20" s="2" t="s">
        <v>29</v>
      </c>
      <c r="S20" s="2" t="s">
        <v>29</v>
      </c>
      <c r="T20" s="2" t="s">
        <v>29</v>
      </c>
      <c r="U20" s="2" t="s">
        <v>29</v>
      </c>
      <c r="V20" s="2" t="s">
        <v>29</v>
      </c>
      <c r="W20" s="2" t="s">
        <v>29</v>
      </c>
      <c r="X20" s="2" t="s">
        <v>29</v>
      </c>
      <c r="Y20" s="2" t="s">
        <v>29</v>
      </c>
      <c r="Z20" s="2" t="s">
        <v>29</v>
      </c>
      <c r="AA20" s="2" t="s">
        <v>29</v>
      </c>
      <c r="AB20" s="2" t="s">
        <v>29</v>
      </c>
      <c r="AC20" s="2" t="s">
        <v>29</v>
      </c>
      <c r="AD20" s="2" t="s">
        <v>29</v>
      </c>
      <c r="AE20" s="2" t="s">
        <v>29</v>
      </c>
      <c r="AF20" s="2" t="s">
        <v>29</v>
      </c>
      <c r="AG20" s="2" t="s">
        <v>33</v>
      </c>
      <c r="AH20" s="2" t="s">
        <v>127</v>
      </c>
      <c r="AI20" s="2" t="s">
        <v>34</v>
      </c>
      <c r="AJ20" s="2" t="s">
        <v>29</v>
      </c>
      <c r="AK20" s="2" t="s">
        <v>125</v>
      </c>
      <c r="AL20" s="2" t="s">
        <v>29</v>
      </c>
      <c r="AM20" s="2" t="s">
        <v>94</v>
      </c>
      <c r="AN20" s="2" t="s">
        <v>29</v>
      </c>
      <c r="AO20" s="2" t="s">
        <v>33</v>
      </c>
      <c r="AP20" s="2" t="s">
        <v>29</v>
      </c>
      <c r="AQ20" s="2" t="s">
        <v>36</v>
      </c>
      <c r="AR20" s="2" t="s">
        <v>29</v>
      </c>
      <c r="AS20" s="2" t="s">
        <v>122</v>
      </c>
    </row>
    <row r="21">
      <c r="A21" s="2">
        <v>1.14727756566E11</v>
      </c>
      <c r="B21" s="3">
        <v>45600.41577546296</v>
      </c>
      <c r="C21" s="3">
        <v>45600.41590277778</v>
      </c>
      <c r="D21" s="2" t="s">
        <v>128</v>
      </c>
      <c r="E21" s="4">
        <v>10.0</v>
      </c>
      <c r="F21" s="2" t="s">
        <v>53</v>
      </c>
      <c r="G21" s="2" t="s">
        <v>29</v>
      </c>
      <c r="H21" s="2" t="s">
        <v>29</v>
      </c>
      <c r="I21" s="2" t="s">
        <v>29</v>
      </c>
      <c r="J21" s="2">
        <v>4.33188881E8</v>
      </c>
      <c r="K21" s="2" t="s">
        <v>30</v>
      </c>
      <c r="L21" s="2" t="s">
        <v>29</v>
      </c>
      <c r="M21" s="2" t="s">
        <v>129</v>
      </c>
      <c r="N21" s="2" t="s">
        <v>29</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c r="AC21" s="2" t="s">
        <v>29</v>
      </c>
      <c r="AD21" s="2" t="s">
        <v>29</v>
      </c>
      <c r="AE21" s="2" t="s">
        <v>29</v>
      </c>
      <c r="AF21" s="2" t="s">
        <v>29</v>
      </c>
      <c r="AG21" s="2" t="s">
        <v>29</v>
      </c>
      <c r="AH21" s="2" t="s">
        <v>29</v>
      </c>
      <c r="AI21" s="2" t="s">
        <v>29</v>
      </c>
      <c r="AJ21" s="2" t="s">
        <v>29</v>
      </c>
      <c r="AK21" s="2" t="s">
        <v>29</v>
      </c>
      <c r="AL21" s="2" t="s">
        <v>29</v>
      </c>
      <c r="AM21" s="2" t="s">
        <v>29</v>
      </c>
      <c r="AN21" s="2" t="s">
        <v>29</v>
      </c>
      <c r="AO21" s="2" t="s">
        <v>29</v>
      </c>
      <c r="AP21" s="2" t="s">
        <v>29</v>
      </c>
      <c r="AQ21" s="2" t="s">
        <v>29</v>
      </c>
      <c r="AR21" s="2" t="s">
        <v>29</v>
      </c>
      <c r="AS21" s="2" t="s">
        <v>29</v>
      </c>
    </row>
    <row r="22">
      <c r="A22" s="2">
        <v>1.14727756942E11</v>
      </c>
      <c r="B22" s="3">
        <v>45600.416354166664</v>
      </c>
      <c r="C22" s="3">
        <v>45600.41658564815</v>
      </c>
      <c r="D22" s="2" t="s">
        <v>128</v>
      </c>
      <c r="E22" s="4">
        <v>19.0</v>
      </c>
      <c r="F22" s="2" t="s">
        <v>53</v>
      </c>
      <c r="G22" s="2" t="s">
        <v>29</v>
      </c>
      <c r="H22" s="2" t="s">
        <v>29</v>
      </c>
      <c r="I22" s="2" t="s">
        <v>29</v>
      </c>
      <c r="J22" s="2">
        <v>4.33188881E8</v>
      </c>
      <c r="K22" s="2" t="s">
        <v>30</v>
      </c>
      <c r="L22" s="2" t="s">
        <v>29</v>
      </c>
      <c r="M22" s="2" t="s">
        <v>129</v>
      </c>
      <c r="N22" s="2" t="s">
        <v>130</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c r="AC22" s="2" t="s">
        <v>29</v>
      </c>
      <c r="AD22" s="2" t="s">
        <v>29</v>
      </c>
      <c r="AE22" s="2" t="s">
        <v>29</v>
      </c>
      <c r="AF22" s="2" t="s">
        <v>29</v>
      </c>
      <c r="AG22" s="2" t="s">
        <v>29</v>
      </c>
      <c r="AH22" s="2" t="s">
        <v>29</v>
      </c>
      <c r="AI22" s="2" t="s">
        <v>29</v>
      </c>
      <c r="AJ22" s="2" t="s">
        <v>29</v>
      </c>
      <c r="AK22" s="2" t="s">
        <v>29</v>
      </c>
      <c r="AL22" s="2" t="s">
        <v>29</v>
      </c>
      <c r="AM22" s="2" t="s">
        <v>29</v>
      </c>
      <c r="AN22" s="2" t="s">
        <v>29</v>
      </c>
      <c r="AO22" s="2" t="s">
        <v>29</v>
      </c>
      <c r="AP22" s="2" t="s">
        <v>29</v>
      </c>
      <c r="AQ22" s="2" t="s">
        <v>29</v>
      </c>
      <c r="AR22" s="2" t="s">
        <v>29</v>
      </c>
      <c r="AS22" s="2" t="s">
        <v>29</v>
      </c>
    </row>
    <row r="23">
      <c r="A23" s="2">
        <v>1.14727795056E11</v>
      </c>
      <c r="B23" s="3">
        <v>45600.46730324074</v>
      </c>
      <c r="C23" s="3">
        <v>45600.46844907408</v>
      </c>
      <c r="D23" s="2" t="s">
        <v>131</v>
      </c>
      <c r="E23" s="4">
        <v>99.0</v>
      </c>
      <c r="F23" s="2" t="s">
        <v>28</v>
      </c>
      <c r="G23" s="2" t="s">
        <v>29</v>
      </c>
      <c r="H23" s="2" t="s">
        <v>29</v>
      </c>
      <c r="I23" s="2" t="s">
        <v>29</v>
      </c>
      <c r="J23" s="2">
        <v>4.33188881E8</v>
      </c>
      <c r="K23" s="2" t="s">
        <v>30</v>
      </c>
      <c r="L23" s="2" t="s">
        <v>29</v>
      </c>
      <c r="M23" s="2" t="s">
        <v>103</v>
      </c>
      <c r="N23" s="2" t="s">
        <v>29</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c r="AC23" s="2" t="s">
        <v>29</v>
      </c>
      <c r="AD23" s="2" t="s">
        <v>29</v>
      </c>
      <c r="AE23" s="2" t="s">
        <v>132</v>
      </c>
      <c r="AF23" s="2" t="s">
        <v>29</v>
      </c>
      <c r="AG23" s="2" t="s">
        <v>33</v>
      </c>
      <c r="AH23" s="2" t="s">
        <v>29</v>
      </c>
      <c r="AI23" s="2" t="s">
        <v>34</v>
      </c>
      <c r="AJ23" s="2" t="s">
        <v>29</v>
      </c>
      <c r="AK23" s="2" t="s">
        <v>59</v>
      </c>
      <c r="AL23" s="2" t="s">
        <v>29</v>
      </c>
      <c r="AM23" s="2" t="s">
        <v>94</v>
      </c>
      <c r="AN23" s="2" t="s">
        <v>29</v>
      </c>
      <c r="AO23" s="2" t="s">
        <v>29</v>
      </c>
      <c r="AP23" s="2" t="s">
        <v>29</v>
      </c>
      <c r="AQ23" s="2" t="s">
        <v>110</v>
      </c>
      <c r="AR23" s="2" t="s">
        <v>133</v>
      </c>
      <c r="AS23" s="2" t="s">
        <v>29</v>
      </c>
    </row>
    <row r="24">
      <c r="A24" s="2">
        <v>1.14727860401E11</v>
      </c>
      <c r="B24" s="3">
        <v>45600.55229166667</v>
      </c>
      <c r="C24" s="3">
        <v>45600.554398148146</v>
      </c>
      <c r="D24" s="2" t="s">
        <v>128</v>
      </c>
      <c r="E24" s="4">
        <v>181.0</v>
      </c>
      <c r="F24" s="2" t="s">
        <v>28</v>
      </c>
      <c r="G24" s="2" t="s">
        <v>29</v>
      </c>
      <c r="H24" s="2" t="s">
        <v>29</v>
      </c>
      <c r="I24" s="2" t="s">
        <v>29</v>
      </c>
      <c r="J24" s="2">
        <v>4.33188881E8</v>
      </c>
      <c r="K24" s="2" t="s">
        <v>30</v>
      </c>
      <c r="L24" s="2" t="s">
        <v>29</v>
      </c>
      <c r="M24" s="2" t="s">
        <v>129</v>
      </c>
      <c r="N24" s="2" t="s">
        <v>130</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c r="AC24" s="2" t="s">
        <v>29</v>
      </c>
      <c r="AD24" s="2" t="s">
        <v>29</v>
      </c>
      <c r="AE24" s="2" t="s">
        <v>29</v>
      </c>
      <c r="AF24" s="2" t="s">
        <v>29</v>
      </c>
      <c r="AG24" s="2" t="s">
        <v>33</v>
      </c>
      <c r="AH24" s="2" t="s">
        <v>29</v>
      </c>
      <c r="AI24" s="2" t="s">
        <v>34</v>
      </c>
      <c r="AJ24" s="2" t="s">
        <v>29</v>
      </c>
      <c r="AK24" s="2" t="s">
        <v>125</v>
      </c>
      <c r="AL24" s="2" t="s">
        <v>134</v>
      </c>
      <c r="AM24" s="2" t="s">
        <v>33</v>
      </c>
      <c r="AN24" s="2" t="s">
        <v>29</v>
      </c>
      <c r="AO24" s="2" t="s">
        <v>29</v>
      </c>
      <c r="AP24" s="2" t="s">
        <v>135</v>
      </c>
      <c r="AQ24" s="2" t="s">
        <v>34</v>
      </c>
      <c r="AR24" s="2" t="s">
        <v>29</v>
      </c>
      <c r="AS24" s="2" t="s">
        <v>136</v>
      </c>
    </row>
    <row r="25">
      <c r="A25" s="2">
        <v>1.14727862304E11</v>
      </c>
      <c r="B25" s="3">
        <v>45600.55152777778</v>
      </c>
      <c r="C25" s="3">
        <v>45600.55939814815</v>
      </c>
      <c r="D25" s="2" t="s">
        <v>128</v>
      </c>
      <c r="E25" s="4">
        <v>679.0</v>
      </c>
      <c r="F25" s="2" t="s">
        <v>28</v>
      </c>
      <c r="G25" s="2" t="s">
        <v>29</v>
      </c>
      <c r="H25" s="2" t="s">
        <v>29</v>
      </c>
      <c r="I25" s="2" t="s">
        <v>29</v>
      </c>
      <c r="J25" s="2">
        <v>4.33188881E8</v>
      </c>
      <c r="K25" s="2" t="s">
        <v>30</v>
      </c>
      <c r="L25" s="2" t="s">
        <v>29</v>
      </c>
      <c r="M25" s="2" t="s">
        <v>129</v>
      </c>
      <c r="N25" s="2" t="s">
        <v>137</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c r="AC25" s="2" t="s">
        <v>29</v>
      </c>
      <c r="AD25" s="2" t="s">
        <v>29</v>
      </c>
      <c r="AE25" s="2" t="s">
        <v>29</v>
      </c>
      <c r="AF25" s="2" t="s">
        <v>29</v>
      </c>
      <c r="AG25" s="2" t="s">
        <v>33</v>
      </c>
      <c r="AH25" s="2" t="s">
        <v>29</v>
      </c>
      <c r="AI25" s="2" t="s">
        <v>34</v>
      </c>
      <c r="AJ25" s="2" t="s">
        <v>29</v>
      </c>
      <c r="AK25" s="2" t="s">
        <v>33</v>
      </c>
      <c r="AL25" s="2" t="s">
        <v>29</v>
      </c>
      <c r="AM25" s="2" t="s">
        <v>33</v>
      </c>
      <c r="AN25" s="2" t="s">
        <v>29</v>
      </c>
      <c r="AO25" s="2" t="s">
        <v>29</v>
      </c>
      <c r="AP25" s="2" t="s">
        <v>138</v>
      </c>
      <c r="AQ25" s="2" t="s">
        <v>34</v>
      </c>
      <c r="AR25" s="2" t="s">
        <v>29</v>
      </c>
      <c r="AS25" s="2" t="s">
        <v>139</v>
      </c>
    </row>
    <row r="26">
      <c r="A26" s="2">
        <v>1.1472803238E11</v>
      </c>
      <c r="B26" s="3">
        <v>45600.684907407405</v>
      </c>
      <c r="C26" s="3">
        <v>45600.6890162037</v>
      </c>
      <c r="D26" s="2" t="s">
        <v>140</v>
      </c>
      <c r="E26" s="4">
        <v>355.0</v>
      </c>
      <c r="F26" s="2" t="s">
        <v>28</v>
      </c>
      <c r="G26" s="2" t="s">
        <v>29</v>
      </c>
      <c r="H26" s="2" t="s">
        <v>29</v>
      </c>
      <c r="I26" s="2" t="s">
        <v>29</v>
      </c>
      <c r="J26" s="2">
        <v>4.33188881E8</v>
      </c>
      <c r="K26" s="2" t="s">
        <v>30</v>
      </c>
      <c r="L26" s="2" t="s">
        <v>29</v>
      </c>
      <c r="M26" s="2" t="s">
        <v>129</v>
      </c>
      <c r="N26" s="2" t="s">
        <v>141</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c r="AC26" s="2" t="s">
        <v>29</v>
      </c>
      <c r="AD26" s="2" t="s">
        <v>29</v>
      </c>
      <c r="AE26" s="2" t="s">
        <v>29</v>
      </c>
      <c r="AF26" s="2" t="s">
        <v>29</v>
      </c>
      <c r="AG26" s="2" t="s">
        <v>33</v>
      </c>
      <c r="AH26" s="2" t="s">
        <v>142</v>
      </c>
      <c r="AI26" s="2" t="s">
        <v>34</v>
      </c>
      <c r="AJ26" s="2" t="s">
        <v>29</v>
      </c>
      <c r="AK26" s="2" t="s">
        <v>33</v>
      </c>
      <c r="AL26" s="2" t="s">
        <v>143</v>
      </c>
      <c r="AM26" s="2" t="s">
        <v>33</v>
      </c>
      <c r="AN26" s="2" t="s">
        <v>144</v>
      </c>
      <c r="AO26" s="2" t="s">
        <v>29</v>
      </c>
      <c r="AP26" s="2" t="s">
        <v>29</v>
      </c>
      <c r="AQ26" s="2" t="s">
        <v>34</v>
      </c>
      <c r="AR26" s="2" t="s">
        <v>145</v>
      </c>
      <c r="AS26" s="2" t="s">
        <v>146</v>
      </c>
    </row>
    <row r="27">
      <c r="A27" s="2">
        <v>1.14728662991E11</v>
      </c>
      <c r="B27" s="3">
        <v>45601.316712962966</v>
      </c>
      <c r="C27" s="3">
        <v>45601.32163194445</v>
      </c>
      <c r="D27" s="2" t="s">
        <v>128</v>
      </c>
      <c r="E27" s="4">
        <v>425.0</v>
      </c>
      <c r="F27" s="2" t="s">
        <v>28</v>
      </c>
      <c r="G27" s="2" t="s">
        <v>29</v>
      </c>
      <c r="H27" s="2" t="s">
        <v>29</v>
      </c>
      <c r="I27" s="2" t="s">
        <v>29</v>
      </c>
      <c r="J27" s="2">
        <v>4.33188881E8</v>
      </c>
      <c r="K27" s="2" t="s">
        <v>30</v>
      </c>
      <c r="L27" s="2" t="s">
        <v>29</v>
      </c>
      <c r="M27" s="2" t="s">
        <v>129</v>
      </c>
      <c r="N27" s="2" t="s">
        <v>147</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c r="AC27" s="2" t="s">
        <v>29</v>
      </c>
      <c r="AD27" s="2" t="s">
        <v>29</v>
      </c>
      <c r="AE27" s="2" t="s">
        <v>29</v>
      </c>
      <c r="AF27" s="2" t="s">
        <v>29</v>
      </c>
      <c r="AG27" s="2" t="s">
        <v>94</v>
      </c>
      <c r="AH27" s="2" t="s">
        <v>148</v>
      </c>
      <c r="AI27" s="2" t="s">
        <v>34</v>
      </c>
      <c r="AJ27" s="2" t="s">
        <v>29</v>
      </c>
      <c r="AK27" s="2" t="s">
        <v>33</v>
      </c>
      <c r="AL27" s="2" t="s">
        <v>149</v>
      </c>
      <c r="AM27" s="2" t="s">
        <v>33</v>
      </c>
      <c r="AN27" s="2" t="s">
        <v>150</v>
      </c>
      <c r="AO27" s="2" t="s">
        <v>29</v>
      </c>
      <c r="AP27" s="2" t="s">
        <v>29</v>
      </c>
      <c r="AQ27" s="2" t="s">
        <v>34</v>
      </c>
      <c r="AR27" s="2" t="s">
        <v>29</v>
      </c>
      <c r="AS27" s="2" t="s">
        <v>151</v>
      </c>
    </row>
    <row r="28">
      <c r="A28" s="2">
        <v>1.14728671687E11</v>
      </c>
      <c r="B28" s="3">
        <v>45601.33206018519</v>
      </c>
      <c r="C28" s="3">
        <v>45601.334548611114</v>
      </c>
      <c r="D28" s="2" t="s">
        <v>128</v>
      </c>
      <c r="E28" s="4">
        <v>215.0</v>
      </c>
      <c r="F28" s="2" t="s">
        <v>28</v>
      </c>
      <c r="G28" s="2" t="s">
        <v>29</v>
      </c>
      <c r="H28" s="2" t="s">
        <v>29</v>
      </c>
      <c r="I28" s="2" t="s">
        <v>29</v>
      </c>
      <c r="J28" s="2">
        <v>4.33188881E8</v>
      </c>
      <c r="K28" s="2" t="s">
        <v>30</v>
      </c>
      <c r="L28" s="2" t="s">
        <v>29</v>
      </c>
      <c r="M28" s="2" t="s">
        <v>129</v>
      </c>
      <c r="N28" s="2" t="s">
        <v>152</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c r="AC28" s="2" t="s">
        <v>29</v>
      </c>
      <c r="AD28" s="2" t="s">
        <v>29</v>
      </c>
      <c r="AE28" s="2" t="s">
        <v>29</v>
      </c>
      <c r="AF28" s="2" t="s">
        <v>29</v>
      </c>
      <c r="AG28" s="2" t="s">
        <v>33</v>
      </c>
      <c r="AH28" s="2" t="s">
        <v>153</v>
      </c>
      <c r="AI28" s="2" t="s">
        <v>34</v>
      </c>
      <c r="AJ28" s="2" t="s">
        <v>29</v>
      </c>
      <c r="AK28" s="2" t="s">
        <v>33</v>
      </c>
      <c r="AL28" s="2" t="s">
        <v>154</v>
      </c>
      <c r="AM28" s="2" t="s">
        <v>33</v>
      </c>
      <c r="AN28" s="2" t="s">
        <v>155</v>
      </c>
      <c r="AO28" s="2" t="s">
        <v>29</v>
      </c>
      <c r="AP28" s="2" t="s">
        <v>29</v>
      </c>
      <c r="AQ28" s="2" t="s">
        <v>34</v>
      </c>
      <c r="AR28" s="2" t="s">
        <v>29</v>
      </c>
      <c r="AS28" s="2" t="s">
        <v>151</v>
      </c>
    </row>
    <row r="29">
      <c r="A29" s="2">
        <v>1.14728673284E11</v>
      </c>
      <c r="B29" s="3">
        <v>45601.33474537037</v>
      </c>
      <c r="C29" s="3">
        <v>45601.34025462963</v>
      </c>
      <c r="D29" s="2" t="s">
        <v>128</v>
      </c>
      <c r="E29" s="4">
        <v>476.0</v>
      </c>
      <c r="F29" s="2" t="s">
        <v>28</v>
      </c>
      <c r="G29" s="2" t="s">
        <v>29</v>
      </c>
      <c r="H29" s="2" t="s">
        <v>29</v>
      </c>
      <c r="I29" s="2" t="s">
        <v>29</v>
      </c>
      <c r="J29" s="2">
        <v>4.33188881E8</v>
      </c>
      <c r="K29" s="2" t="s">
        <v>30</v>
      </c>
      <c r="L29" s="2" t="s">
        <v>29</v>
      </c>
      <c r="M29" s="2" t="s">
        <v>129</v>
      </c>
      <c r="N29" s="2" t="s">
        <v>156</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c r="AC29" s="2" t="s">
        <v>29</v>
      </c>
      <c r="AD29" s="2" t="s">
        <v>29</v>
      </c>
      <c r="AE29" s="2" t="s">
        <v>29</v>
      </c>
      <c r="AF29" s="2" t="s">
        <v>29</v>
      </c>
      <c r="AG29" s="2" t="s">
        <v>94</v>
      </c>
      <c r="AH29" s="2" t="s">
        <v>157</v>
      </c>
      <c r="AI29" s="2" t="s">
        <v>34</v>
      </c>
      <c r="AJ29" s="2" t="s">
        <v>29</v>
      </c>
      <c r="AK29" s="2" t="s">
        <v>125</v>
      </c>
      <c r="AL29" s="2" t="s">
        <v>158</v>
      </c>
      <c r="AM29" s="2" t="s">
        <v>94</v>
      </c>
      <c r="AN29" s="2" t="s">
        <v>159</v>
      </c>
      <c r="AO29" s="2" t="s">
        <v>29</v>
      </c>
      <c r="AP29" s="2" t="s">
        <v>29</v>
      </c>
      <c r="AQ29" s="2" t="s">
        <v>34</v>
      </c>
      <c r="AR29" s="2" t="s">
        <v>29</v>
      </c>
      <c r="AS29" s="2" t="s">
        <v>151</v>
      </c>
    </row>
    <row r="30">
      <c r="A30" s="2">
        <v>1.14733612006E11</v>
      </c>
      <c r="B30" s="3">
        <v>45607.69569444445</v>
      </c>
      <c r="C30" s="3">
        <v>45607.70675925926</v>
      </c>
      <c r="D30" s="2" t="s">
        <v>128</v>
      </c>
      <c r="E30" s="4">
        <v>955.0</v>
      </c>
      <c r="F30" s="2" t="s">
        <v>28</v>
      </c>
      <c r="G30" s="2" t="s">
        <v>29</v>
      </c>
      <c r="H30" s="2" t="s">
        <v>29</v>
      </c>
      <c r="I30" s="2" t="s">
        <v>29</v>
      </c>
      <c r="J30" s="2">
        <v>4.33188881E8</v>
      </c>
      <c r="K30" s="2" t="s">
        <v>30</v>
      </c>
      <c r="L30" s="2" t="s">
        <v>29</v>
      </c>
      <c r="M30" s="2" t="s">
        <v>129</v>
      </c>
      <c r="N30" s="2" t="s">
        <v>160</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c r="AC30" s="2" t="s">
        <v>29</v>
      </c>
      <c r="AD30" s="2" t="s">
        <v>29</v>
      </c>
      <c r="AE30" s="2" t="s">
        <v>29</v>
      </c>
      <c r="AF30" s="2" t="s">
        <v>29</v>
      </c>
      <c r="AG30" s="2" t="s">
        <v>33</v>
      </c>
      <c r="AH30" s="2" t="s">
        <v>161</v>
      </c>
      <c r="AI30" s="2" t="s">
        <v>34</v>
      </c>
      <c r="AJ30" s="2" t="s">
        <v>29</v>
      </c>
      <c r="AK30" s="2" t="s">
        <v>125</v>
      </c>
      <c r="AL30" s="2" t="s">
        <v>162</v>
      </c>
      <c r="AM30" s="2" t="s">
        <v>33</v>
      </c>
      <c r="AN30" s="2" t="s">
        <v>163</v>
      </c>
      <c r="AO30" s="2" t="s">
        <v>29</v>
      </c>
      <c r="AP30" s="2" t="s">
        <v>29</v>
      </c>
      <c r="AQ30" s="2" t="s">
        <v>95</v>
      </c>
      <c r="AR30" s="2" t="s">
        <v>164</v>
      </c>
      <c r="AS30" s="2" t="s">
        <v>29</v>
      </c>
    </row>
    <row r="31">
      <c r="A31" s="2">
        <v>1.14735329669E11</v>
      </c>
      <c r="B31" s="3">
        <v>45609.48516203704</v>
      </c>
      <c r="C31" s="3">
        <v>45609.48908564815</v>
      </c>
      <c r="D31" s="2" t="s">
        <v>128</v>
      </c>
      <c r="E31" s="4">
        <v>338.0</v>
      </c>
      <c r="F31" s="2" t="s">
        <v>28</v>
      </c>
      <c r="G31" s="2" t="s">
        <v>29</v>
      </c>
      <c r="H31" s="2" t="s">
        <v>29</v>
      </c>
      <c r="I31" s="2" t="s">
        <v>29</v>
      </c>
      <c r="J31" s="2">
        <v>4.33188881E8</v>
      </c>
      <c r="K31" s="2" t="s">
        <v>30</v>
      </c>
      <c r="L31" s="2" t="s">
        <v>29</v>
      </c>
      <c r="M31" s="2" t="s">
        <v>129</v>
      </c>
      <c r="N31" s="2" t="s">
        <v>165</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c r="AC31" s="2" t="s">
        <v>29</v>
      </c>
      <c r="AD31" s="2" t="s">
        <v>29</v>
      </c>
      <c r="AE31" s="2" t="s">
        <v>29</v>
      </c>
      <c r="AF31" s="2" t="s">
        <v>29</v>
      </c>
      <c r="AG31" s="2" t="s">
        <v>33</v>
      </c>
      <c r="AH31" s="2" t="s">
        <v>166</v>
      </c>
      <c r="AI31" s="2" t="s">
        <v>34</v>
      </c>
      <c r="AJ31" s="2" t="s">
        <v>29</v>
      </c>
      <c r="AK31" s="2" t="s">
        <v>33</v>
      </c>
      <c r="AL31" s="2" t="s">
        <v>29</v>
      </c>
      <c r="AM31" s="2" t="s">
        <v>33</v>
      </c>
      <c r="AN31" s="2" t="s">
        <v>167</v>
      </c>
      <c r="AO31" s="2" t="s">
        <v>29</v>
      </c>
      <c r="AP31" s="2" t="s">
        <v>29</v>
      </c>
      <c r="AQ31" s="2" t="s">
        <v>34</v>
      </c>
      <c r="AR31" s="2" t="s">
        <v>29</v>
      </c>
      <c r="AS31" s="2" t="s">
        <v>29</v>
      </c>
    </row>
    <row r="32">
      <c r="A32" s="2">
        <v>1.14713459572E11</v>
      </c>
      <c r="B32" s="3">
        <v>45581.520266203705</v>
      </c>
      <c r="C32" s="3">
        <v>45581.52118055556</v>
      </c>
      <c r="D32" s="2" t="s">
        <v>168</v>
      </c>
      <c r="E32" s="4">
        <v>79.0</v>
      </c>
      <c r="F32" s="2" t="s">
        <v>53</v>
      </c>
      <c r="G32" s="2" t="s">
        <v>29</v>
      </c>
      <c r="H32" s="2" t="s">
        <v>29</v>
      </c>
      <c r="I32" s="2" t="s">
        <v>29</v>
      </c>
      <c r="J32" s="2">
        <v>4.33188697E8</v>
      </c>
      <c r="K32" s="2" t="s">
        <v>30</v>
      </c>
      <c r="L32" s="2" t="s">
        <v>29</v>
      </c>
      <c r="M32" s="2" t="s">
        <v>103</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c r="AC32" s="2" t="s">
        <v>29</v>
      </c>
      <c r="AD32" s="2" t="s">
        <v>29</v>
      </c>
      <c r="AE32" s="2" t="s">
        <v>104</v>
      </c>
      <c r="AF32" s="2" t="s">
        <v>29</v>
      </c>
      <c r="AG32" s="2" t="s">
        <v>169</v>
      </c>
      <c r="AH32" s="2" t="s">
        <v>29</v>
      </c>
      <c r="AI32" s="2" t="s">
        <v>34</v>
      </c>
      <c r="AJ32" s="2" t="s">
        <v>29</v>
      </c>
      <c r="AK32" s="2" t="s">
        <v>33</v>
      </c>
      <c r="AL32" s="2" t="s">
        <v>29</v>
      </c>
      <c r="AM32" s="2" t="s">
        <v>33</v>
      </c>
      <c r="AN32" s="2" t="s">
        <v>29</v>
      </c>
      <c r="AO32" s="2" t="s">
        <v>29</v>
      </c>
      <c r="AP32" s="2" t="s">
        <v>29</v>
      </c>
      <c r="AQ32" s="2" t="s">
        <v>29</v>
      </c>
      <c r="AR32" s="2" t="s">
        <v>29</v>
      </c>
      <c r="AS32" s="2" t="s">
        <v>29</v>
      </c>
    </row>
    <row r="33">
      <c r="A33" s="2">
        <v>1.14713734464E11</v>
      </c>
      <c r="B33" s="3">
        <v>45581.75067129629</v>
      </c>
      <c r="C33" s="3">
        <v>45581.75090277778</v>
      </c>
      <c r="D33" s="2" t="s">
        <v>170</v>
      </c>
      <c r="E33" s="4">
        <v>19.0</v>
      </c>
      <c r="F33" s="2" t="s">
        <v>53</v>
      </c>
      <c r="G33" s="2" t="s">
        <v>29</v>
      </c>
      <c r="H33" s="2" t="s">
        <v>29</v>
      </c>
      <c r="I33" s="2" t="s">
        <v>29</v>
      </c>
      <c r="J33" s="2">
        <v>4.33188697E8</v>
      </c>
      <c r="K33" s="2" t="s">
        <v>30</v>
      </c>
      <c r="L33" s="2" t="s">
        <v>29</v>
      </c>
      <c r="M33" s="2" t="s">
        <v>171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c r="AC33" s="2" t="s">
        <v>29</v>
      </c>
      <c r="AD33" s="2" t="s">
        <v>29</v>
      </c>
      <c r="AE33" s="2" t="s">
        <v>29</v>
      </c>
      <c r="AF33" s="2" t="s">
        <v>29</v>
      </c>
      <c r="AG33" s="2" t="s">
        <v>29</v>
      </c>
      <c r="AH33" s="2" t="s">
        <v>29</v>
      </c>
      <c r="AI33" s="2" t="s">
        <v>29</v>
      </c>
      <c r="AJ33" s="2" t="s">
        <v>29</v>
      </c>
      <c r="AK33" s="2" t="s">
        <v>29</v>
      </c>
      <c r="AL33" s="2" t="s">
        <v>29</v>
      </c>
      <c r="AM33" s="2" t="s">
        <v>29</v>
      </c>
      <c r="AN33" s="2" t="s">
        <v>29</v>
      </c>
      <c r="AO33" s="2" t="s">
        <v>29</v>
      </c>
      <c r="AP33" s="2" t="s">
        <v>29</v>
      </c>
      <c r="AQ33" s="2" t="s">
        <v>29</v>
      </c>
      <c r="AR33" s="2" t="s">
        <v>29</v>
      </c>
      <c r="AS33" s="2" t="s">
        <v>29</v>
      </c>
    </row>
    <row r="34">
      <c r="A34" s="2">
        <v>1.14745029744E11</v>
      </c>
      <c r="B34" s="3">
        <v>45621.58930555556</v>
      </c>
      <c r="C34" s="3">
        <v>45621.59336805555</v>
      </c>
      <c r="D34" s="2" t="s">
        <v>172</v>
      </c>
      <c r="E34" s="4">
        <v>350.0</v>
      </c>
      <c r="F34" s="2" t="s">
        <v>28</v>
      </c>
      <c r="G34" s="2" t="s">
        <v>29</v>
      </c>
      <c r="H34" s="2" t="s">
        <v>29</v>
      </c>
      <c r="I34" s="2" t="s">
        <v>29</v>
      </c>
      <c r="J34" s="2">
        <v>4.33188881E8</v>
      </c>
      <c r="K34" s="2" t="s">
        <v>30</v>
      </c>
      <c r="L34" s="2" t="s">
        <v>29</v>
      </c>
      <c r="M34" s="2" t="s">
        <v>103</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c r="AC34" s="2" t="s">
        <v>29</v>
      </c>
      <c r="AD34" s="2" t="s">
        <v>29</v>
      </c>
      <c r="AE34" s="2" t="s">
        <v>173</v>
      </c>
      <c r="AF34" s="2" t="s">
        <v>29</v>
      </c>
      <c r="AG34" s="2" t="s">
        <v>33</v>
      </c>
      <c r="AH34" s="2" t="s">
        <v>174</v>
      </c>
      <c r="AI34" s="2" t="s">
        <v>36</v>
      </c>
      <c r="AJ34" s="2" t="s">
        <v>175</v>
      </c>
      <c r="AK34" s="2" t="s">
        <v>33</v>
      </c>
      <c r="AL34" s="2" t="s">
        <v>176</v>
      </c>
      <c r="AM34" s="2" t="s">
        <v>33</v>
      </c>
      <c r="AN34" s="2" t="s">
        <v>177</v>
      </c>
      <c r="AO34" s="2" t="s">
        <v>29</v>
      </c>
      <c r="AP34" s="2" t="s">
        <v>178</v>
      </c>
      <c r="AQ34" s="2" t="s">
        <v>36</v>
      </c>
      <c r="AR34" s="2" t="s">
        <v>179</v>
      </c>
      <c r="AS34" s="2" t="s">
        <v>29</v>
      </c>
    </row>
    <row r="35">
      <c r="A35" s="2">
        <v>1.14745051553E11</v>
      </c>
      <c r="B35" s="3">
        <v>45621.61017361111</v>
      </c>
      <c r="C35" s="3">
        <v>45621.61150462963</v>
      </c>
      <c r="D35" s="2" t="s">
        <v>180</v>
      </c>
      <c r="E35" s="4">
        <v>114.0</v>
      </c>
      <c r="F35" s="2" t="s">
        <v>28</v>
      </c>
      <c r="G35" s="2" t="s">
        <v>29</v>
      </c>
      <c r="H35" s="2" t="s">
        <v>29</v>
      </c>
      <c r="I35" s="2" t="s">
        <v>29</v>
      </c>
      <c r="J35" s="2">
        <v>4.33598082E8</v>
      </c>
      <c r="K35" s="2" t="s">
        <v>30</v>
      </c>
      <c r="L35" s="2" t="s">
        <v>29</v>
      </c>
      <c r="M35" s="2" t="s">
        <v>181</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182</v>
      </c>
      <c r="AC35" s="2" t="s">
        <v>29</v>
      </c>
      <c r="AD35" s="2" t="s">
        <v>29</v>
      </c>
      <c r="AE35" s="2" t="s">
        <v>29</v>
      </c>
      <c r="AF35" s="2" t="s">
        <v>29</v>
      </c>
      <c r="AG35" s="2" t="s">
        <v>94</v>
      </c>
      <c r="AH35" s="2" t="s">
        <v>29</v>
      </c>
      <c r="AI35" s="2" t="s">
        <v>34</v>
      </c>
      <c r="AJ35" s="2" t="s">
        <v>29</v>
      </c>
      <c r="AK35" s="2" t="s">
        <v>125</v>
      </c>
      <c r="AL35" s="2" t="s">
        <v>29</v>
      </c>
      <c r="AM35" s="2" t="s">
        <v>94</v>
      </c>
      <c r="AN35" s="2" t="s">
        <v>29</v>
      </c>
      <c r="AO35" s="2" t="s">
        <v>94</v>
      </c>
      <c r="AP35" s="2" t="s">
        <v>29</v>
      </c>
      <c r="AQ35" s="2" t="s">
        <v>34</v>
      </c>
      <c r="AR35" s="2" t="s">
        <v>29</v>
      </c>
      <c r="AS35" s="2" t="s">
        <v>29</v>
      </c>
    </row>
    <row r="36">
      <c r="A36" s="2">
        <v>1.14745053221E11</v>
      </c>
      <c r="B36" s="3">
        <v>45621.6115625</v>
      </c>
      <c r="C36" s="3">
        <v>45621.61274305556</v>
      </c>
      <c r="D36" s="2" t="s">
        <v>180</v>
      </c>
      <c r="E36" s="4">
        <v>101.0</v>
      </c>
      <c r="F36" s="2" t="s">
        <v>28</v>
      </c>
      <c r="G36" s="2" t="s">
        <v>29</v>
      </c>
      <c r="H36" s="2" t="s">
        <v>29</v>
      </c>
      <c r="I36" s="2" t="s">
        <v>29</v>
      </c>
      <c r="J36" s="2">
        <v>4.33598082E8</v>
      </c>
      <c r="K36" s="2" t="s">
        <v>30</v>
      </c>
      <c r="L36" s="2" t="s">
        <v>29</v>
      </c>
      <c r="M36" s="2" t="s">
        <v>181</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183</v>
      </c>
      <c r="AC36" s="2" t="s">
        <v>29</v>
      </c>
      <c r="AD36" s="2" t="s">
        <v>29</v>
      </c>
      <c r="AE36" s="2" t="s">
        <v>29</v>
      </c>
      <c r="AF36" s="2" t="s">
        <v>29</v>
      </c>
      <c r="AG36" s="2" t="s">
        <v>33</v>
      </c>
      <c r="AH36" s="2" t="s">
        <v>29</v>
      </c>
      <c r="AI36" s="2" t="s">
        <v>36</v>
      </c>
      <c r="AJ36" s="2" t="s">
        <v>29</v>
      </c>
      <c r="AK36" s="2" t="s">
        <v>33</v>
      </c>
      <c r="AL36" s="2" t="s">
        <v>29</v>
      </c>
      <c r="AM36" s="2" t="s">
        <v>33</v>
      </c>
      <c r="AN36" s="2" t="s">
        <v>29</v>
      </c>
      <c r="AO36" s="2" t="s">
        <v>94</v>
      </c>
      <c r="AP36" s="2" t="s">
        <v>29</v>
      </c>
      <c r="AQ36" s="2" t="s">
        <v>34</v>
      </c>
      <c r="AR36" s="2" t="s">
        <v>29</v>
      </c>
      <c r="AS36" s="2" t="s">
        <v>29</v>
      </c>
    </row>
    <row r="37">
      <c r="A37" s="2">
        <v>1.14746771051E11</v>
      </c>
      <c r="B37" s="3">
        <v>45623.57896990741</v>
      </c>
      <c r="C37" s="3">
        <v>45623.58048611111</v>
      </c>
      <c r="D37" s="2" t="s">
        <v>180</v>
      </c>
      <c r="E37" s="4">
        <v>130.0</v>
      </c>
      <c r="F37" s="2" t="s">
        <v>28</v>
      </c>
      <c r="G37" s="2" t="s">
        <v>29</v>
      </c>
      <c r="H37" s="2" t="s">
        <v>29</v>
      </c>
      <c r="I37" s="2" t="s">
        <v>29</v>
      </c>
      <c r="J37" s="2">
        <v>4.33598082E8</v>
      </c>
      <c r="K37" s="2" t="s">
        <v>30</v>
      </c>
      <c r="L37" s="2" t="s">
        <v>29</v>
      </c>
      <c r="M37" s="2" t="s">
        <v>184</v>
      </c>
      <c r="N37" s="2" t="s">
        <v>29</v>
      </c>
      <c r="O37" s="2" t="s">
        <v>29</v>
      </c>
      <c r="P37" s="2" t="s">
        <v>29</v>
      </c>
      <c r="Q37" s="2" t="s">
        <v>29</v>
      </c>
      <c r="R37" s="2" t="s">
        <v>29</v>
      </c>
      <c r="S37" s="2" t="s">
        <v>185</v>
      </c>
      <c r="T37" s="2" t="s">
        <v>29</v>
      </c>
      <c r="U37" s="2" t="s">
        <v>29</v>
      </c>
      <c r="V37" s="2" t="s">
        <v>29</v>
      </c>
      <c r="W37" s="2" t="s">
        <v>29</v>
      </c>
      <c r="X37" s="2" t="s">
        <v>29</v>
      </c>
      <c r="Y37" s="2" t="s">
        <v>29</v>
      </c>
      <c r="Z37" s="2" t="s">
        <v>29</v>
      </c>
      <c r="AA37" s="2" t="s">
        <v>29</v>
      </c>
      <c r="AB37" s="2" t="s">
        <v>29</v>
      </c>
      <c r="AC37" s="2" t="s">
        <v>29</v>
      </c>
      <c r="AD37" s="2" t="s">
        <v>29</v>
      </c>
      <c r="AE37" s="2" t="s">
        <v>29</v>
      </c>
      <c r="AF37" s="2" t="s">
        <v>29</v>
      </c>
      <c r="AG37" s="2" t="s">
        <v>33</v>
      </c>
      <c r="AH37" s="2" t="s">
        <v>186</v>
      </c>
      <c r="AI37" s="2" t="s">
        <v>34</v>
      </c>
      <c r="AJ37" s="2" t="s">
        <v>187</v>
      </c>
      <c r="AK37" s="2" t="s">
        <v>33</v>
      </c>
      <c r="AL37" s="2" t="s">
        <v>188</v>
      </c>
      <c r="AM37" s="2" t="s">
        <v>33</v>
      </c>
      <c r="AN37" s="2" t="s">
        <v>29</v>
      </c>
      <c r="AO37" s="2" t="s">
        <v>33</v>
      </c>
      <c r="AP37" s="2" t="s">
        <v>189</v>
      </c>
      <c r="AQ37" s="2" t="s">
        <v>36</v>
      </c>
      <c r="AR37" s="2" t="s">
        <v>190</v>
      </c>
      <c r="AS37" s="2" t="s">
        <v>29</v>
      </c>
    </row>
    <row r="38">
      <c r="A38" s="2">
        <v>1.14746772269E11</v>
      </c>
      <c r="B38" s="3">
        <v>45623.58053240741</v>
      </c>
      <c r="C38" s="3">
        <v>45623.582280092596</v>
      </c>
      <c r="D38" s="2" t="s">
        <v>180</v>
      </c>
      <c r="E38" s="4">
        <v>151.0</v>
      </c>
      <c r="F38" s="2" t="s">
        <v>28</v>
      </c>
      <c r="G38" s="2" t="s">
        <v>29</v>
      </c>
      <c r="H38" s="2" t="s">
        <v>29</v>
      </c>
      <c r="I38" s="2" t="s">
        <v>29</v>
      </c>
      <c r="J38" s="2">
        <v>4.33598082E8</v>
      </c>
      <c r="K38" s="2" t="s">
        <v>30</v>
      </c>
      <c r="L38" s="2" t="s">
        <v>29</v>
      </c>
      <c r="M38" s="2" t="s">
        <v>184</v>
      </c>
      <c r="N38" s="2" t="s">
        <v>29</v>
      </c>
      <c r="O38" s="2" t="s">
        <v>29</v>
      </c>
      <c r="P38" s="2" t="s">
        <v>29</v>
      </c>
      <c r="Q38" s="2" t="s">
        <v>29</v>
      </c>
      <c r="R38" s="2" t="s">
        <v>29</v>
      </c>
      <c r="S38" s="2" t="s">
        <v>191</v>
      </c>
      <c r="T38" s="2" t="s">
        <v>29</v>
      </c>
      <c r="U38" s="2" t="s">
        <v>29</v>
      </c>
      <c r="V38" s="2" t="s">
        <v>29</v>
      </c>
      <c r="W38" s="2" t="s">
        <v>29</v>
      </c>
      <c r="X38" s="2" t="s">
        <v>29</v>
      </c>
      <c r="Y38" s="2" t="s">
        <v>29</v>
      </c>
      <c r="Z38" s="2" t="s">
        <v>29</v>
      </c>
      <c r="AA38" s="2" t="s">
        <v>29</v>
      </c>
      <c r="AB38" s="2" t="s">
        <v>29</v>
      </c>
      <c r="AC38" s="2" t="s">
        <v>29</v>
      </c>
      <c r="AD38" s="2" t="s">
        <v>29</v>
      </c>
      <c r="AE38" s="2" t="s">
        <v>29</v>
      </c>
      <c r="AF38" s="2" t="s">
        <v>29</v>
      </c>
      <c r="AG38" s="2" t="s">
        <v>33</v>
      </c>
      <c r="AH38" s="2" t="s">
        <v>192</v>
      </c>
      <c r="AI38" s="2" t="s">
        <v>34</v>
      </c>
      <c r="AJ38" s="2" t="s">
        <v>29</v>
      </c>
      <c r="AK38" s="2" t="s">
        <v>33</v>
      </c>
      <c r="AL38" s="2" t="s">
        <v>29</v>
      </c>
      <c r="AM38" s="2" t="s">
        <v>33</v>
      </c>
      <c r="AN38" s="2" t="s">
        <v>29</v>
      </c>
      <c r="AO38" s="2" t="s">
        <v>29</v>
      </c>
      <c r="AP38" s="2" t="s">
        <v>193</v>
      </c>
      <c r="AQ38" s="2" t="s">
        <v>29</v>
      </c>
      <c r="AR38" s="2" t="s">
        <v>29</v>
      </c>
      <c r="AS38" s="2" t="s">
        <v>29</v>
      </c>
    </row>
    <row r="39">
      <c r="A39" s="2">
        <v>1.14753140732E11</v>
      </c>
      <c r="B39" s="3">
        <v>45632.32341435185</v>
      </c>
      <c r="C39" s="3">
        <v>45632.3259375</v>
      </c>
      <c r="D39" s="2" t="s">
        <v>194</v>
      </c>
      <c r="E39" s="4">
        <v>218.0</v>
      </c>
      <c r="F39" s="2" t="s">
        <v>28</v>
      </c>
      <c r="G39" s="2" t="s">
        <v>29</v>
      </c>
      <c r="H39" s="2" t="s">
        <v>29</v>
      </c>
      <c r="I39" s="2" t="s">
        <v>29</v>
      </c>
      <c r="J39" s="2">
        <v>4.33598082E8</v>
      </c>
      <c r="K39" s="2" t="s">
        <v>30</v>
      </c>
      <c r="L39" s="2" t="s">
        <v>29</v>
      </c>
      <c r="M39" s="2" t="s">
        <v>184</v>
      </c>
      <c r="N39" s="2" t="s">
        <v>29</v>
      </c>
      <c r="O39" s="2" t="s">
        <v>29</v>
      </c>
      <c r="P39" s="2" t="s">
        <v>29</v>
      </c>
      <c r="Q39" s="2" t="s">
        <v>29</v>
      </c>
      <c r="R39" s="2" t="s">
        <v>29</v>
      </c>
      <c r="S39" s="2" t="s">
        <v>195</v>
      </c>
      <c r="T39" s="2" t="s">
        <v>29</v>
      </c>
      <c r="U39" s="2" t="s">
        <v>29</v>
      </c>
      <c r="V39" s="2" t="s">
        <v>29</v>
      </c>
      <c r="W39" s="2" t="s">
        <v>29</v>
      </c>
      <c r="X39" s="2" t="s">
        <v>29</v>
      </c>
      <c r="Y39" s="2" t="s">
        <v>29</v>
      </c>
      <c r="Z39" s="2" t="s">
        <v>29</v>
      </c>
      <c r="AA39" s="2" t="s">
        <v>29</v>
      </c>
      <c r="AB39" s="2" t="s">
        <v>29</v>
      </c>
      <c r="AC39" s="2" t="s">
        <v>29</v>
      </c>
      <c r="AD39" s="2" t="s">
        <v>29</v>
      </c>
      <c r="AE39" s="2" t="s">
        <v>29</v>
      </c>
      <c r="AF39" s="2" t="s">
        <v>29</v>
      </c>
      <c r="AG39" s="2" t="s">
        <v>94</v>
      </c>
      <c r="AH39" s="2" t="s">
        <v>196</v>
      </c>
      <c r="AI39" s="2" t="s">
        <v>34</v>
      </c>
      <c r="AJ39" s="2" t="s">
        <v>29</v>
      </c>
      <c r="AK39" s="2" t="s">
        <v>29</v>
      </c>
      <c r="AL39" s="2" t="s">
        <v>197</v>
      </c>
      <c r="AM39" s="2" t="s">
        <v>94</v>
      </c>
      <c r="AN39" s="2" t="s">
        <v>29</v>
      </c>
      <c r="AO39" s="2" t="s">
        <v>29</v>
      </c>
      <c r="AP39" s="2" t="s">
        <v>198</v>
      </c>
      <c r="AQ39" s="2" t="s">
        <v>29</v>
      </c>
      <c r="AR39" s="2" t="s">
        <v>199</v>
      </c>
      <c r="AS39" s="2" t="s">
        <v>29</v>
      </c>
    </row>
    <row r="40">
      <c r="A40" s="2">
        <v>1.14756477385E11</v>
      </c>
      <c r="B40" s="3">
        <v>45637.39815972222</v>
      </c>
      <c r="C40" s="3">
        <v>45637.398993055554</v>
      </c>
      <c r="D40" s="2" t="s">
        <v>128</v>
      </c>
      <c r="E40" s="4">
        <v>72.0</v>
      </c>
      <c r="F40" s="2" t="s">
        <v>28</v>
      </c>
      <c r="G40" s="2" t="s">
        <v>29</v>
      </c>
      <c r="H40" s="2" t="s">
        <v>29</v>
      </c>
      <c r="I40" s="2" t="s">
        <v>29</v>
      </c>
      <c r="J40" s="2">
        <v>4.33188881E8</v>
      </c>
      <c r="K40" s="2" t="s">
        <v>30</v>
      </c>
      <c r="L40" s="2" t="s">
        <v>29</v>
      </c>
      <c r="M40" s="2" t="s">
        <v>129</v>
      </c>
      <c r="N40" s="2" t="s">
        <v>200</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c r="AC40" s="2" t="s">
        <v>29</v>
      </c>
      <c r="AD40" s="2" t="s">
        <v>29</v>
      </c>
      <c r="AE40" s="2" t="s">
        <v>29</v>
      </c>
      <c r="AF40" s="2" t="s">
        <v>29</v>
      </c>
      <c r="AG40" s="2" t="s">
        <v>33</v>
      </c>
      <c r="AH40" s="2" t="s">
        <v>29</v>
      </c>
      <c r="AI40" s="2" t="s">
        <v>34</v>
      </c>
      <c r="AJ40" s="2" t="s">
        <v>29</v>
      </c>
      <c r="AK40" s="2" t="s">
        <v>33</v>
      </c>
      <c r="AL40" s="2" t="s">
        <v>29</v>
      </c>
      <c r="AM40" s="2" t="s">
        <v>33</v>
      </c>
      <c r="AN40" s="2" t="s">
        <v>29</v>
      </c>
      <c r="AO40" s="2" t="s">
        <v>29</v>
      </c>
      <c r="AP40" s="2" t="s">
        <v>29</v>
      </c>
      <c r="AQ40" s="2" t="s">
        <v>36</v>
      </c>
      <c r="AR40" s="2" t="s">
        <v>29</v>
      </c>
      <c r="AS40" s="2" t="s">
        <v>29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201</v>
      </c>
      <c r="N1" s="1" t="s">
        <v>12</v>
      </c>
      <c r="O1" s="1" t="s">
        <v>13</v>
      </c>
      <c r="P1" s="1" t="s">
        <v>13</v>
      </c>
      <c r="Q1" s="1" t="s">
        <v>13</v>
      </c>
      <c r="R1" s="1" t="s">
        <v>13</v>
      </c>
      <c r="S1" s="1" t="s">
        <v>13</v>
      </c>
      <c r="T1" s="1" t="s">
        <v>13</v>
      </c>
      <c r="U1" s="1" t="s">
        <v>13</v>
      </c>
      <c r="V1" s="1" t="s">
        <v>13</v>
      </c>
      <c r="W1" s="1" t="s">
        <v>13</v>
      </c>
      <c r="X1" s="1" t="s">
        <v>13</v>
      </c>
      <c r="Y1" s="1" t="s">
        <v>13</v>
      </c>
      <c r="Z1" s="1" t="s">
        <v>13</v>
      </c>
      <c r="AA1" s="1" t="s">
        <v>14</v>
      </c>
      <c r="AB1" s="1" t="s">
        <v>15</v>
      </c>
      <c r="AC1" s="1" t="s">
        <v>16</v>
      </c>
      <c r="AD1" s="1" t="s">
        <v>17</v>
      </c>
      <c r="AE1" s="1" t="s">
        <v>18</v>
      </c>
      <c r="AF1" s="1" t="s">
        <v>19</v>
      </c>
      <c r="AG1" s="1" t="s">
        <v>20</v>
      </c>
      <c r="AH1" s="1" t="s">
        <v>21</v>
      </c>
      <c r="AI1" s="1" t="s">
        <v>22</v>
      </c>
      <c r="AJ1" s="1" t="s">
        <v>23</v>
      </c>
      <c r="AK1" s="1" t="s">
        <v>24</v>
      </c>
      <c r="AL1" s="1" t="s">
        <v>25</v>
      </c>
      <c r="AM1" s="1" t="s">
        <v>26</v>
      </c>
    </row>
    <row r="2">
      <c r="A2" s="2">
        <v>1.1443505647E11</v>
      </c>
      <c r="B2" s="3">
        <v>45211.55265046296</v>
      </c>
      <c r="C2" s="3">
        <v>45211.552766203706</v>
      </c>
      <c r="D2" s="2" t="s">
        <v>202</v>
      </c>
      <c r="E2" s="4">
        <v>10.0</v>
      </c>
      <c r="F2" s="2" t="s">
        <v>53</v>
      </c>
      <c r="G2" s="2" t="s">
        <v>29</v>
      </c>
      <c r="H2" s="2" t="s">
        <v>29</v>
      </c>
      <c r="I2" s="2" t="s">
        <v>29</v>
      </c>
      <c r="J2" s="2">
        <v>4.27821263E8</v>
      </c>
      <c r="K2" s="2" t="s">
        <v>30</v>
      </c>
      <c r="L2" s="2" t="s">
        <v>29</v>
      </c>
      <c r="M2" s="2" t="s">
        <v>29</v>
      </c>
      <c r="N2" s="2" t="s">
        <v>203</v>
      </c>
      <c r="O2" s="2" t="s">
        <v>29</v>
      </c>
      <c r="P2" s="2" t="s">
        <v>29</v>
      </c>
      <c r="Q2" s="2" t="s">
        <v>29</v>
      </c>
      <c r="R2" s="2" t="s">
        <v>29</v>
      </c>
      <c r="S2" s="2" t="s">
        <v>29</v>
      </c>
      <c r="T2" s="2" t="s">
        <v>29</v>
      </c>
      <c r="U2" s="2" t="s">
        <v>29</v>
      </c>
      <c r="V2" s="2" t="s">
        <v>29</v>
      </c>
      <c r="W2" s="2" t="s">
        <v>29</v>
      </c>
      <c r="X2" s="2" t="s">
        <v>29</v>
      </c>
      <c r="Y2" s="2" t="s">
        <v>29</v>
      </c>
      <c r="Z2" s="2" t="s">
        <v>29</v>
      </c>
      <c r="AA2" s="2" t="s">
        <v>29</v>
      </c>
      <c r="AB2" s="2" t="s">
        <v>29</v>
      </c>
      <c r="AC2" s="2" t="s">
        <v>29</v>
      </c>
      <c r="AD2" s="2" t="s">
        <v>29</v>
      </c>
      <c r="AE2" s="2" t="s">
        <v>29</v>
      </c>
      <c r="AF2" s="2" t="s">
        <v>29</v>
      </c>
      <c r="AG2" s="2" t="s">
        <v>29</v>
      </c>
      <c r="AH2" s="2" t="s">
        <v>29</v>
      </c>
      <c r="AI2" s="2" t="s">
        <v>29</v>
      </c>
      <c r="AJ2" s="2" t="s">
        <v>29</v>
      </c>
      <c r="AK2" s="2" t="s">
        <v>29</v>
      </c>
      <c r="AL2" s="2" t="s">
        <v>29</v>
      </c>
      <c r="AM2" s="2" t="s">
        <v>29</v>
      </c>
    </row>
    <row r="3">
      <c r="A3" s="2">
        <v>1.14452562205E11</v>
      </c>
      <c r="B3" s="3">
        <v>45232.449421296296</v>
      </c>
      <c r="C3" s="3">
        <v>45232.450891203705</v>
      </c>
      <c r="D3" s="2" t="s">
        <v>114</v>
      </c>
      <c r="E3" s="4">
        <v>127.0</v>
      </c>
      <c r="F3" s="2" t="s">
        <v>28</v>
      </c>
      <c r="G3" s="2" t="s">
        <v>29</v>
      </c>
      <c r="H3" s="2" t="s">
        <v>29</v>
      </c>
      <c r="I3" s="2" t="s">
        <v>29</v>
      </c>
      <c r="J3" s="2">
        <v>4.27821263E8</v>
      </c>
      <c r="K3" s="2" t="s">
        <v>30</v>
      </c>
      <c r="L3" s="2" t="s">
        <v>29</v>
      </c>
      <c r="M3" s="2" t="s">
        <v>29</v>
      </c>
      <c r="N3" s="2" t="s">
        <v>103</v>
      </c>
      <c r="O3" s="2" t="s">
        <v>29</v>
      </c>
      <c r="P3" s="2" t="s">
        <v>29</v>
      </c>
      <c r="Q3" s="2" t="s">
        <v>29</v>
      </c>
      <c r="R3" s="2" t="s">
        <v>29</v>
      </c>
      <c r="S3" s="2" t="s">
        <v>29</v>
      </c>
      <c r="T3" s="2" t="s">
        <v>29</v>
      </c>
      <c r="U3" s="2" t="s">
        <v>29</v>
      </c>
      <c r="V3" s="2" t="s">
        <v>29</v>
      </c>
      <c r="W3" s="2" t="s">
        <v>29</v>
      </c>
      <c r="X3" s="2" t="s">
        <v>29</v>
      </c>
      <c r="Y3" s="2" t="s">
        <v>29</v>
      </c>
      <c r="Z3" s="2" t="s">
        <v>115</v>
      </c>
      <c r="AA3" s="2" t="s">
        <v>33</v>
      </c>
      <c r="AB3" s="2" t="s">
        <v>29</v>
      </c>
      <c r="AC3" s="2" t="s">
        <v>34</v>
      </c>
      <c r="AD3" s="2" t="s">
        <v>29</v>
      </c>
      <c r="AE3" s="2" t="s">
        <v>33</v>
      </c>
      <c r="AF3" s="2" t="s">
        <v>29</v>
      </c>
      <c r="AG3" s="2" t="s">
        <v>33</v>
      </c>
      <c r="AH3" s="2" t="s">
        <v>29</v>
      </c>
      <c r="AI3" s="2" t="s">
        <v>29</v>
      </c>
      <c r="AJ3" s="2" t="s">
        <v>29</v>
      </c>
      <c r="AK3" s="2" t="s">
        <v>36</v>
      </c>
      <c r="AL3" s="2" t="s">
        <v>29</v>
      </c>
      <c r="AM3" s="2" t="s">
        <v>29</v>
      </c>
    </row>
    <row r="4">
      <c r="A4" s="2">
        <v>1.14452629995E11</v>
      </c>
      <c r="B4" s="3">
        <v>45232.52071759259</v>
      </c>
      <c r="C4" s="3">
        <v>45232.528032407405</v>
      </c>
      <c r="D4" s="2" t="s">
        <v>204</v>
      </c>
      <c r="E4" s="4">
        <v>631.0</v>
      </c>
      <c r="F4" s="2" t="s">
        <v>28</v>
      </c>
      <c r="G4" s="2" t="s">
        <v>29</v>
      </c>
      <c r="H4" s="2" t="s">
        <v>29</v>
      </c>
      <c r="I4" s="2" t="s">
        <v>29</v>
      </c>
      <c r="J4" s="2">
        <v>4.27821263E8</v>
      </c>
      <c r="K4" s="2" t="s">
        <v>30</v>
      </c>
      <c r="L4" s="2" t="s">
        <v>29</v>
      </c>
      <c r="M4" s="2" t="s">
        <v>29</v>
      </c>
      <c r="N4" s="2" t="s">
        <v>103</v>
      </c>
      <c r="O4" s="2" t="s">
        <v>29</v>
      </c>
      <c r="P4" s="2" t="s">
        <v>29</v>
      </c>
      <c r="Q4" s="2" t="s">
        <v>29</v>
      </c>
      <c r="R4" s="2" t="s">
        <v>29</v>
      </c>
      <c r="S4" s="2" t="s">
        <v>29</v>
      </c>
      <c r="T4" s="2" t="s">
        <v>29</v>
      </c>
      <c r="U4" s="2" t="s">
        <v>29</v>
      </c>
      <c r="V4" s="2" t="s">
        <v>29</v>
      </c>
      <c r="W4" s="2" t="s">
        <v>29</v>
      </c>
      <c r="X4" s="2" t="s">
        <v>29</v>
      </c>
      <c r="Y4" s="2" t="s">
        <v>29</v>
      </c>
      <c r="Z4" s="2" t="s">
        <v>205</v>
      </c>
      <c r="AA4" s="2" t="s">
        <v>33</v>
      </c>
      <c r="AB4" s="2" t="s">
        <v>29</v>
      </c>
      <c r="AC4" s="2" t="s">
        <v>34</v>
      </c>
      <c r="AD4" s="2" t="s">
        <v>29</v>
      </c>
      <c r="AE4" s="2" t="s">
        <v>33</v>
      </c>
      <c r="AF4" s="2" t="s">
        <v>206</v>
      </c>
      <c r="AG4" s="2" t="s">
        <v>33</v>
      </c>
      <c r="AH4" s="2" t="s">
        <v>207</v>
      </c>
      <c r="AI4" s="2" t="s">
        <v>29</v>
      </c>
      <c r="AJ4" s="2" t="s">
        <v>29</v>
      </c>
      <c r="AK4" s="2" t="s">
        <v>36</v>
      </c>
      <c r="AL4" s="2" t="s">
        <v>208</v>
      </c>
      <c r="AM4" s="2" t="s">
        <v>29</v>
      </c>
    </row>
    <row r="5">
      <c r="A5" s="2">
        <v>1.14455711454E11</v>
      </c>
      <c r="B5" s="3">
        <v>45236.327465277776</v>
      </c>
      <c r="C5" s="3">
        <v>45236.339907407404</v>
      </c>
      <c r="D5" s="2" t="s">
        <v>204</v>
      </c>
      <c r="E5" s="4">
        <v>1075.0</v>
      </c>
      <c r="F5" s="2" t="s">
        <v>28</v>
      </c>
      <c r="G5" s="2" t="s">
        <v>29</v>
      </c>
      <c r="H5" s="2" t="s">
        <v>29</v>
      </c>
      <c r="I5" s="2" t="s">
        <v>29</v>
      </c>
      <c r="J5" s="2">
        <v>4.27821263E8</v>
      </c>
      <c r="K5" s="2" t="s">
        <v>30</v>
      </c>
      <c r="L5" s="2" t="s">
        <v>29</v>
      </c>
      <c r="M5" s="2" t="s">
        <v>29</v>
      </c>
      <c r="N5" s="2" t="s">
        <v>103</v>
      </c>
      <c r="O5" s="2" t="s">
        <v>29</v>
      </c>
      <c r="P5" s="2" t="s">
        <v>29</v>
      </c>
      <c r="Q5" s="2" t="s">
        <v>29</v>
      </c>
      <c r="R5" s="2" t="s">
        <v>29</v>
      </c>
      <c r="S5" s="2" t="s">
        <v>29</v>
      </c>
      <c r="T5" s="2" t="s">
        <v>29</v>
      </c>
      <c r="U5" s="2" t="s">
        <v>29</v>
      </c>
      <c r="V5" s="2" t="s">
        <v>29</v>
      </c>
      <c r="W5" s="2" t="s">
        <v>29</v>
      </c>
      <c r="X5" s="2" t="s">
        <v>29</v>
      </c>
      <c r="Y5" s="2" t="s">
        <v>29</v>
      </c>
      <c r="Z5" s="2" t="s">
        <v>209</v>
      </c>
      <c r="AA5" s="2" t="s">
        <v>33</v>
      </c>
      <c r="AB5" s="2" t="s">
        <v>210</v>
      </c>
      <c r="AC5" s="2" t="s">
        <v>34</v>
      </c>
      <c r="AD5" s="2" t="s">
        <v>211</v>
      </c>
      <c r="AE5" s="2" t="s">
        <v>33</v>
      </c>
      <c r="AF5" s="2" t="s">
        <v>212</v>
      </c>
      <c r="AG5" s="2" t="s">
        <v>33</v>
      </c>
      <c r="AH5" s="2" t="s">
        <v>213</v>
      </c>
      <c r="AI5" s="2" t="s">
        <v>29</v>
      </c>
      <c r="AJ5" s="2" t="s">
        <v>29</v>
      </c>
      <c r="AK5" s="2" t="s">
        <v>34</v>
      </c>
      <c r="AL5" s="2" t="s">
        <v>214</v>
      </c>
      <c r="AM5" s="2" t="s">
        <v>29</v>
      </c>
    </row>
    <row r="6">
      <c r="A6" s="2">
        <v>1.1445798783E11</v>
      </c>
      <c r="B6" s="3">
        <v>45238.42625</v>
      </c>
      <c r="C6" s="3">
        <v>45238.44096064815</v>
      </c>
      <c r="D6" s="2" t="s">
        <v>215</v>
      </c>
      <c r="E6" s="4">
        <v>1270.0</v>
      </c>
      <c r="F6" s="2" t="s">
        <v>28</v>
      </c>
      <c r="G6" s="2" t="s">
        <v>29</v>
      </c>
      <c r="H6" s="2" t="s">
        <v>29</v>
      </c>
      <c r="I6" s="2" t="s">
        <v>29</v>
      </c>
      <c r="J6" s="2">
        <v>4.27821263E8</v>
      </c>
      <c r="K6" s="2" t="s">
        <v>30</v>
      </c>
      <c r="L6" s="2" t="s">
        <v>29</v>
      </c>
      <c r="M6" s="2" t="s">
        <v>29</v>
      </c>
      <c r="N6" s="2" t="s">
        <v>103</v>
      </c>
      <c r="O6" s="2" t="s">
        <v>29</v>
      </c>
      <c r="P6" s="2" t="s">
        <v>29</v>
      </c>
      <c r="Q6" s="2" t="s">
        <v>29</v>
      </c>
      <c r="R6" s="2" t="s">
        <v>29</v>
      </c>
      <c r="S6" s="2" t="s">
        <v>29</v>
      </c>
      <c r="T6" s="2" t="s">
        <v>29</v>
      </c>
      <c r="U6" s="2" t="s">
        <v>29</v>
      </c>
      <c r="V6" s="2" t="s">
        <v>29</v>
      </c>
      <c r="W6" s="2" t="s">
        <v>29</v>
      </c>
      <c r="X6" s="2" t="s">
        <v>29</v>
      </c>
      <c r="Y6" s="2" t="s">
        <v>29</v>
      </c>
      <c r="Z6" s="2" t="s">
        <v>132</v>
      </c>
      <c r="AA6" s="2" t="s">
        <v>33</v>
      </c>
      <c r="AB6" s="2" t="s">
        <v>29</v>
      </c>
      <c r="AC6" s="2" t="s">
        <v>34</v>
      </c>
      <c r="AD6" s="2" t="s">
        <v>216</v>
      </c>
      <c r="AE6" s="2" t="s">
        <v>125</v>
      </c>
      <c r="AF6" s="2" t="s">
        <v>217</v>
      </c>
      <c r="AG6" s="2" t="s">
        <v>33</v>
      </c>
      <c r="AH6" s="2" t="s">
        <v>29</v>
      </c>
      <c r="AI6" s="2" t="s">
        <v>29</v>
      </c>
      <c r="AJ6" s="2" t="s">
        <v>29</v>
      </c>
      <c r="AK6" s="2" t="s">
        <v>36</v>
      </c>
      <c r="AL6" s="2" t="s">
        <v>218</v>
      </c>
      <c r="AM6" s="2" t="s">
        <v>29</v>
      </c>
    </row>
    <row r="7">
      <c r="A7" s="2">
        <v>1.14432085003E11</v>
      </c>
      <c r="B7" s="3">
        <v>45208.51293981481</v>
      </c>
      <c r="C7" s="3">
        <v>45208.51435185185</v>
      </c>
      <c r="D7" s="2" t="s">
        <v>84</v>
      </c>
      <c r="E7" s="4">
        <v>122.0</v>
      </c>
      <c r="F7" s="2" t="s">
        <v>28</v>
      </c>
      <c r="G7" s="2" t="s">
        <v>29</v>
      </c>
      <c r="H7" s="2" t="s">
        <v>29</v>
      </c>
      <c r="I7" s="2" t="s">
        <v>29</v>
      </c>
      <c r="J7" s="2">
        <v>4.27944757E8</v>
      </c>
      <c r="K7" s="2" t="s">
        <v>30</v>
      </c>
      <c r="L7" s="2" t="s">
        <v>29</v>
      </c>
      <c r="M7" s="2" t="s">
        <v>29</v>
      </c>
      <c r="N7" s="2" t="s">
        <v>82</v>
      </c>
      <c r="O7" s="2" t="s">
        <v>29</v>
      </c>
      <c r="P7" s="2" t="s">
        <v>219</v>
      </c>
      <c r="Q7" s="2" t="s">
        <v>29</v>
      </c>
      <c r="R7" s="2" t="s">
        <v>29</v>
      </c>
      <c r="S7" s="2" t="s">
        <v>29</v>
      </c>
      <c r="T7" s="2" t="s">
        <v>29</v>
      </c>
      <c r="U7" s="2" t="s">
        <v>29</v>
      </c>
      <c r="V7" s="2" t="s">
        <v>29</v>
      </c>
      <c r="W7" s="2" t="s">
        <v>29</v>
      </c>
      <c r="X7" s="2" t="s">
        <v>29</v>
      </c>
      <c r="Y7" s="2" t="s">
        <v>29</v>
      </c>
      <c r="Z7" s="2" t="s">
        <v>29</v>
      </c>
      <c r="AA7" s="2" t="s">
        <v>33</v>
      </c>
      <c r="AB7" s="2" t="s">
        <v>29</v>
      </c>
      <c r="AC7" s="2" t="s">
        <v>34</v>
      </c>
      <c r="AD7" s="2" t="s">
        <v>29</v>
      </c>
      <c r="AE7" s="2" t="s">
        <v>33</v>
      </c>
      <c r="AF7" s="2" t="s">
        <v>29</v>
      </c>
      <c r="AG7" s="2" t="s">
        <v>33</v>
      </c>
      <c r="AH7" s="2" t="s">
        <v>29</v>
      </c>
      <c r="AI7" s="2" t="s">
        <v>29</v>
      </c>
      <c r="AJ7" s="2" t="s">
        <v>29</v>
      </c>
      <c r="AK7" s="2" t="s">
        <v>36</v>
      </c>
      <c r="AL7" s="2" t="s">
        <v>29</v>
      </c>
      <c r="AM7" s="2" t="s">
        <v>29</v>
      </c>
    </row>
    <row r="8">
      <c r="A8" s="2">
        <v>1.14432951788E11</v>
      </c>
      <c r="B8" s="3">
        <v>45209.45471064815</v>
      </c>
      <c r="C8" s="3">
        <v>45209.457280092596</v>
      </c>
      <c r="D8" s="2" t="s">
        <v>220</v>
      </c>
      <c r="E8" s="4">
        <v>221.0</v>
      </c>
      <c r="F8" s="2" t="s">
        <v>28</v>
      </c>
      <c r="G8" s="2" t="s">
        <v>29</v>
      </c>
      <c r="H8" s="2" t="s">
        <v>29</v>
      </c>
      <c r="I8" s="2" t="s">
        <v>29</v>
      </c>
      <c r="J8" s="2">
        <v>4.27944757E8</v>
      </c>
      <c r="K8" s="2" t="s">
        <v>30</v>
      </c>
      <c r="L8" s="2" t="s">
        <v>29</v>
      </c>
      <c r="M8" s="2" t="s">
        <v>29</v>
      </c>
      <c r="N8" s="2" t="s">
        <v>74</v>
      </c>
      <c r="O8" s="2" t="s">
        <v>29</v>
      </c>
      <c r="P8" s="2" t="s">
        <v>29</v>
      </c>
      <c r="Q8" s="2" t="s">
        <v>29</v>
      </c>
      <c r="R8" s="2" t="s">
        <v>29</v>
      </c>
      <c r="S8" s="2" t="s">
        <v>29</v>
      </c>
      <c r="T8" s="2" t="s">
        <v>29</v>
      </c>
      <c r="U8" s="2" t="s">
        <v>29</v>
      </c>
      <c r="V8" s="2" t="s">
        <v>75</v>
      </c>
      <c r="W8" s="2" t="s">
        <v>29</v>
      </c>
      <c r="X8" s="2" t="s">
        <v>29</v>
      </c>
      <c r="Y8" s="2" t="s">
        <v>29</v>
      </c>
      <c r="Z8" s="2" t="s">
        <v>29</v>
      </c>
      <c r="AA8" s="2" t="s">
        <v>33</v>
      </c>
      <c r="AB8" s="2" t="s">
        <v>221</v>
      </c>
      <c r="AC8" s="2" t="s">
        <v>34</v>
      </c>
      <c r="AD8" s="2" t="s">
        <v>222</v>
      </c>
      <c r="AE8" s="2" t="s">
        <v>33</v>
      </c>
      <c r="AF8" s="2" t="s">
        <v>223</v>
      </c>
      <c r="AG8" s="2" t="s">
        <v>33</v>
      </c>
      <c r="AH8" s="2" t="s">
        <v>224</v>
      </c>
      <c r="AI8" s="2" t="s">
        <v>29</v>
      </c>
      <c r="AJ8" s="2" t="s">
        <v>29</v>
      </c>
      <c r="AK8" s="2" t="s">
        <v>34</v>
      </c>
      <c r="AL8" s="2" t="s">
        <v>29</v>
      </c>
      <c r="AM8" s="2" t="s">
        <v>29</v>
      </c>
    </row>
    <row r="9">
      <c r="A9" s="2">
        <v>1.14433028131E11</v>
      </c>
      <c r="B9" s="3">
        <v>45209.5534837963</v>
      </c>
      <c r="C9" s="3">
        <v>45209.55596064815</v>
      </c>
      <c r="D9" s="2" t="s">
        <v>225</v>
      </c>
      <c r="E9" s="4">
        <v>213.0</v>
      </c>
      <c r="F9" s="2" t="s">
        <v>28</v>
      </c>
      <c r="G9" s="2" t="s">
        <v>29</v>
      </c>
      <c r="H9" s="2" t="s">
        <v>29</v>
      </c>
      <c r="I9" s="2" t="s">
        <v>29</v>
      </c>
      <c r="J9" s="2">
        <v>4.27944757E8</v>
      </c>
      <c r="K9" s="2" t="s">
        <v>30</v>
      </c>
      <c r="L9" s="2" t="s">
        <v>29</v>
      </c>
      <c r="M9" s="2" t="s">
        <v>29</v>
      </c>
      <c r="N9" s="2" t="s">
        <v>74</v>
      </c>
      <c r="O9" s="2" t="s">
        <v>29</v>
      </c>
      <c r="P9" s="2" t="s">
        <v>29</v>
      </c>
      <c r="Q9" s="2" t="s">
        <v>29</v>
      </c>
      <c r="R9" s="2" t="s">
        <v>29</v>
      </c>
      <c r="S9" s="2" t="s">
        <v>29</v>
      </c>
      <c r="T9" s="2" t="s">
        <v>29</v>
      </c>
      <c r="U9" s="2" t="s">
        <v>29</v>
      </c>
      <c r="V9" s="2" t="s">
        <v>226</v>
      </c>
      <c r="W9" s="2" t="s">
        <v>29</v>
      </c>
      <c r="X9" s="2" t="s">
        <v>29</v>
      </c>
      <c r="Y9" s="2" t="s">
        <v>29</v>
      </c>
      <c r="Z9" s="2" t="s">
        <v>29</v>
      </c>
      <c r="AA9" s="2" t="s">
        <v>33</v>
      </c>
      <c r="AB9" s="2" t="s">
        <v>227</v>
      </c>
      <c r="AC9" s="2" t="s">
        <v>34</v>
      </c>
      <c r="AD9" s="2" t="s">
        <v>228</v>
      </c>
      <c r="AE9" s="2" t="s">
        <v>33</v>
      </c>
      <c r="AF9" s="2" t="s">
        <v>229</v>
      </c>
      <c r="AG9" s="2" t="s">
        <v>33</v>
      </c>
      <c r="AH9" s="2" t="s">
        <v>230</v>
      </c>
      <c r="AI9" s="2" t="s">
        <v>29</v>
      </c>
      <c r="AJ9" s="2" t="s">
        <v>29</v>
      </c>
      <c r="AK9" s="2" t="s">
        <v>34</v>
      </c>
      <c r="AL9" s="2" t="s">
        <v>29</v>
      </c>
      <c r="AM9" s="2" t="s">
        <v>29</v>
      </c>
    </row>
    <row r="10">
      <c r="A10" s="2">
        <v>1.14433974193E11</v>
      </c>
      <c r="B10" s="3">
        <v>45210.44626157408</v>
      </c>
      <c r="C10" s="3">
        <v>45210.44694444445</v>
      </c>
      <c r="D10" s="2" t="s">
        <v>231</v>
      </c>
      <c r="E10" s="4">
        <v>58.0</v>
      </c>
      <c r="F10" s="2" t="s">
        <v>28</v>
      </c>
      <c r="G10" s="2" t="s">
        <v>29</v>
      </c>
      <c r="H10" s="2" t="s">
        <v>29</v>
      </c>
      <c r="I10" s="2" t="s">
        <v>29</v>
      </c>
      <c r="J10" s="2">
        <v>4.27944757E8</v>
      </c>
      <c r="K10" s="2" t="s">
        <v>30</v>
      </c>
      <c r="L10" s="2" t="s">
        <v>29</v>
      </c>
      <c r="M10" s="2" t="s">
        <v>29</v>
      </c>
      <c r="N10" s="2" t="s">
        <v>232</v>
      </c>
      <c r="O10" s="2" t="s">
        <v>29</v>
      </c>
      <c r="P10" s="2" t="s">
        <v>29</v>
      </c>
      <c r="Q10" s="2" t="s">
        <v>29</v>
      </c>
      <c r="R10" s="2" t="s">
        <v>29</v>
      </c>
      <c r="S10" s="2" t="s">
        <v>29</v>
      </c>
      <c r="T10" s="2" t="s">
        <v>29</v>
      </c>
      <c r="U10" s="2" t="s">
        <v>29</v>
      </c>
      <c r="V10" s="2" t="s">
        <v>29</v>
      </c>
      <c r="W10" s="2" t="s">
        <v>29</v>
      </c>
      <c r="X10" s="2" t="s">
        <v>29</v>
      </c>
      <c r="Y10" s="2" t="s">
        <v>233</v>
      </c>
      <c r="Z10" s="2" t="s">
        <v>29</v>
      </c>
      <c r="AA10" s="2" t="s">
        <v>33</v>
      </c>
      <c r="AB10" s="2" t="s">
        <v>29</v>
      </c>
      <c r="AC10" s="2" t="s">
        <v>34</v>
      </c>
      <c r="AD10" s="2" t="s">
        <v>29</v>
      </c>
      <c r="AE10" s="2" t="s">
        <v>125</v>
      </c>
      <c r="AF10" s="2" t="s">
        <v>29</v>
      </c>
      <c r="AG10" s="2" t="s">
        <v>33</v>
      </c>
      <c r="AH10" s="2" t="s">
        <v>29</v>
      </c>
      <c r="AI10" s="2" t="s">
        <v>59</v>
      </c>
      <c r="AJ10" s="2" t="s">
        <v>29</v>
      </c>
      <c r="AK10" s="2" t="s">
        <v>95</v>
      </c>
      <c r="AL10" s="2" t="s">
        <v>29</v>
      </c>
      <c r="AM10" s="2" t="s">
        <v>29</v>
      </c>
    </row>
    <row r="11">
      <c r="A11" s="2">
        <v>1.14433974925E11</v>
      </c>
      <c r="B11" s="3">
        <v>45210.44708333333</v>
      </c>
      <c r="C11" s="3">
        <v>45210.447604166664</v>
      </c>
      <c r="D11" s="2" t="s">
        <v>231</v>
      </c>
      <c r="E11" s="4">
        <v>44.0</v>
      </c>
      <c r="F11" s="2" t="s">
        <v>28</v>
      </c>
      <c r="G11" s="2" t="s">
        <v>29</v>
      </c>
      <c r="H11" s="2" t="s">
        <v>29</v>
      </c>
      <c r="I11" s="2" t="s">
        <v>29</v>
      </c>
      <c r="J11" s="2">
        <v>4.27944757E8</v>
      </c>
      <c r="K11" s="2" t="s">
        <v>30</v>
      </c>
      <c r="L11" s="2" t="s">
        <v>29</v>
      </c>
      <c r="M11" s="2" t="s">
        <v>29</v>
      </c>
      <c r="N11" s="2" t="s">
        <v>232</v>
      </c>
      <c r="O11" s="2" t="s">
        <v>29</v>
      </c>
      <c r="P11" s="2" t="s">
        <v>29</v>
      </c>
      <c r="Q11" s="2" t="s">
        <v>29</v>
      </c>
      <c r="R11" s="2" t="s">
        <v>29</v>
      </c>
      <c r="S11" s="2" t="s">
        <v>29</v>
      </c>
      <c r="T11" s="2" t="s">
        <v>29</v>
      </c>
      <c r="U11" s="2" t="s">
        <v>29</v>
      </c>
      <c r="V11" s="2" t="s">
        <v>29</v>
      </c>
      <c r="W11" s="2" t="s">
        <v>29</v>
      </c>
      <c r="X11" s="2" t="s">
        <v>29</v>
      </c>
      <c r="Y11" s="2" t="s">
        <v>234</v>
      </c>
      <c r="Z11" s="2" t="s">
        <v>29</v>
      </c>
      <c r="AA11" s="2" t="s">
        <v>33</v>
      </c>
      <c r="AB11" s="2" t="s">
        <v>29</v>
      </c>
      <c r="AC11" s="2" t="s">
        <v>34</v>
      </c>
      <c r="AD11" s="2" t="s">
        <v>29</v>
      </c>
      <c r="AE11" s="2" t="s">
        <v>125</v>
      </c>
      <c r="AF11" s="2" t="s">
        <v>29</v>
      </c>
      <c r="AG11" s="2" t="s">
        <v>94</v>
      </c>
      <c r="AH11" s="2" t="s">
        <v>29</v>
      </c>
      <c r="AI11" s="2" t="s">
        <v>59</v>
      </c>
      <c r="AJ11" s="2" t="s">
        <v>29</v>
      </c>
      <c r="AK11" s="2" t="s">
        <v>95</v>
      </c>
      <c r="AL11" s="2" t="s">
        <v>29</v>
      </c>
      <c r="AM11" s="2" t="s">
        <v>29</v>
      </c>
    </row>
    <row r="12">
      <c r="A12" s="2">
        <v>1.14433975481E11</v>
      </c>
      <c r="B12" s="3">
        <v>45210.44766203704</v>
      </c>
      <c r="C12" s="3">
        <v>45210.448333333334</v>
      </c>
      <c r="D12" s="2" t="s">
        <v>231</v>
      </c>
      <c r="E12" s="4">
        <v>57.0</v>
      </c>
      <c r="F12" s="2" t="s">
        <v>28</v>
      </c>
      <c r="G12" s="2" t="s">
        <v>29</v>
      </c>
      <c r="H12" s="2" t="s">
        <v>29</v>
      </c>
      <c r="I12" s="2" t="s">
        <v>29</v>
      </c>
      <c r="J12" s="2">
        <v>4.27944757E8</v>
      </c>
      <c r="K12" s="2" t="s">
        <v>30</v>
      </c>
      <c r="L12" s="2" t="s">
        <v>29</v>
      </c>
      <c r="M12" s="2" t="s">
        <v>29</v>
      </c>
      <c r="N12" s="2" t="s">
        <v>232</v>
      </c>
      <c r="O12" s="2" t="s">
        <v>29</v>
      </c>
      <c r="P12" s="2" t="s">
        <v>29</v>
      </c>
      <c r="Q12" s="2" t="s">
        <v>29</v>
      </c>
      <c r="R12" s="2" t="s">
        <v>29</v>
      </c>
      <c r="S12" s="2" t="s">
        <v>29</v>
      </c>
      <c r="T12" s="2" t="s">
        <v>29</v>
      </c>
      <c r="U12" s="2" t="s">
        <v>29</v>
      </c>
      <c r="V12" s="2" t="s">
        <v>29</v>
      </c>
      <c r="W12" s="2" t="s">
        <v>29</v>
      </c>
      <c r="X12" s="2" t="s">
        <v>29</v>
      </c>
      <c r="Y12" s="2" t="s">
        <v>235</v>
      </c>
      <c r="Z12" s="2" t="s">
        <v>29</v>
      </c>
      <c r="AA12" s="2" t="s">
        <v>94</v>
      </c>
      <c r="AB12" s="2" t="s">
        <v>29</v>
      </c>
      <c r="AC12" s="2" t="s">
        <v>36</v>
      </c>
      <c r="AD12" s="2" t="s">
        <v>29</v>
      </c>
      <c r="AE12" s="2" t="s">
        <v>125</v>
      </c>
      <c r="AF12" s="2" t="s">
        <v>29</v>
      </c>
      <c r="AG12" s="2" t="s">
        <v>33</v>
      </c>
      <c r="AH12" s="2" t="s">
        <v>29</v>
      </c>
      <c r="AI12" s="2" t="s">
        <v>59</v>
      </c>
      <c r="AJ12" s="2" t="s">
        <v>29</v>
      </c>
      <c r="AK12" s="2" t="s">
        <v>95</v>
      </c>
      <c r="AL12" s="2" t="s">
        <v>29</v>
      </c>
      <c r="AM12" s="2" t="s">
        <v>29</v>
      </c>
    </row>
    <row r="13">
      <c r="A13" s="2">
        <v>1.14433976163E11</v>
      </c>
      <c r="B13" s="3">
        <v>45210.4483912037</v>
      </c>
      <c r="C13" s="3">
        <v>45210.449421296296</v>
      </c>
      <c r="D13" s="2" t="s">
        <v>231</v>
      </c>
      <c r="E13" s="4">
        <v>88.0</v>
      </c>
      <c r="F13" s="2" t="s">
        <v>28</v>
      </c>
      <c r="G13" s="2" t="s">
        <v>29</v>
      </c>
      <c r="H13" s="2" t="s">
        <v>29</v>
      </c>
      <c r="I13" s="2" t="s">
        <v>29</v>
      </c>
      <c r="J13" s="2">
        <v>4.27944757E8</v>
      </c>
      <c r="K13" s="2" t="s">
        <v>30</v>
      </c>
      <c r="L13" s="2" t="s">
        <v>29</v>
      </c>
      <c r="M13" s="2" t="s">
        <v>29</v>
      </c>
      <c r="N13" s="2" t="s">
        <v>232</v>
      </c>
      <c r="O13" s="2" t="s">
        <v>29</v>
      </c>
      <c r="P13" s="2" t="s">
        <v>29</v>
      </c>
      <c r="Q13" s="2" t="s">
        <v>29</v>
      </c>
      <c r="R13" s="2" t="s">
        <v>29</v>
      </c>
      <c r="S13" s="2" t="s">
        <v>29</v>
      </c>
      <c r="T13" s="2" t="s">
        <v>29</v>
      </c>
      <c r="U13" s="2" t="s">
        <v>29</v>
      </c>
      <c r="V13" s="2" t="s">
        <v>29</v>
      </c>
      <c r="W13" s="2" t="s">
        <v>29</v>
      </c>
      <c r="X13" s="2" t="s">
        <v>29</v>
      </c>
      <c r="Y13" s="2" t="s">
        <v>236</v>
      </c>
      <c r="Z13" s="2" t="s">
        <v>29</v>
      </c>
      <c r="AA13" s="2" t="s">
        <v>59</v>
      </c>
      <c r="AB13" s="2" t="s">
        <v>237</v>
      </c>
      <c r="AC13" s="2" t="s">
        <v>36</v>
      </c>
      <c r="AD13" s="2" t="s">
        <v>29</v>
      </c>
      <c r="AE13" s="2" t="s">
        <v>59</v>
      </c>
      <c r="AF13" s="2" t="s">
        <v>29</v>
      </c>
      <c r="AG13" s="2" t="s">
        <v>59</v>
      </c>
      <c r="AH13" s="2" t="s">
        <v>29</v>
      </c>
      <c r="AI13" s="2" t="s">
        <v>59</v>
      </c>
      <c r="AJ13" s="2" t="s">
        <v>29</v>
      </c>
      <c r="AK13" s="2" t="s">
        <v>238</v>
      </c>
      <c r="AL13" s="2" t="s">
        <v>29</v>
      </c>
      <c r="AM13" s="2" t="s">
        <v>29</v>
      </c>
    </row>
    <row r="14">
      <c r="A14" s="2">
        <v>1.14434120203E11</v>
      </c>
      <c r="B14" s="3">
        <v>45210.60068287037</v>
      </c>
      <c r="C14" s="3">
        <v>45210.6096875</v>
      </c>
      <c r="D14" s="2" t="s">
        <v>239</v>
      </c>
      <c r="E14" s="4">
        <v>777.0</v>
      </c>
      <c r="F14" s="2" t="s">
        <v>28</v>
      </c>
      <c r="G14" s="2" t="s">
        <v>29</v>
      </c>
      <c r="H14" s="2" t="s">
        <v>29</v>
      </c>
      <c r="I14" s="2" t="s">
        <v>29</v>
      </c>
      <c r="J14" s="2">
        <v>4.27944757E8</v>
      </c>
      <c r="K14" s="2" t="s">
        <v>30</v>
      </c>
      <c r="L14" s="2" t="s">
        <v>29</v>
      </c>
      <c r="M14" s="2" t="s">
        <v>29</v>
      </c>
      <c r="N14" s="2" t="s">
        <v>171</v>
      </c>
      <c r="O14" s="2" t="s">
        <v>29</v>
      </c>
      <c r="P14" s="2" t="s">
        <v>29</v>
      </c>
      <c r="Q14" s="2" t="s">
        <v>29</v>
      </c>
      <c r="R14" s="2" t="s">
        <v>29</v>
      </c>
      <c r="S14" s="2" t="s">
        <v>29</v>
      </c>
      <c r="T14" s="2" t="s">
        <v>29</v>
      </c>
      <c r="U14" s="2" t="s">
        <v>240</v>
      </c>
      <c r="V14" s="2" t="s">
        <v>29</v>
      </c>
      <c r="W14" s="2" t="s">
        <v>29</v>
      </c>
      <c r="X14" s="2" t="s">
        <v>29</v>
      </c>
      <c r="Y14" s="2" t="s">
        <v>29</v>
      </c>
      <c r="Z14" s="2" t="s">
        <v>29</v>
      </c>
      <c r="AA14" s="2" t="s">
        <v>33</v>
      </c>
      <c r="AB14" s="2" t="s">
        <v>241</v>
      </c>
      <c r="AC14" s="2" t="s">
        <v>34</v>
      </c>
      <c r="AD14" s="2" t="s">
        <v>242</v>
      </c>
      <c r="AE14" s="2" t="s">
        <v>33</v>
      </c>
      <c r="AF14" s="2" t="s">
        <v>243</v>
      </c>
      <c r="AG14" s="2" t="s">
        <v>33</v>
      </c>
      <c r="AH14" s="2" t="s">
        <v>244</v>
      </c>
      <c r="AI14" s="2" t="s">
        <v>29</v>
      </c>
      <c r="AJ14" s="2" t="s">
        <v>29</v>
      </c>
      <c r="AK14" s="2" t="s">
        <v>95</v>
      </c>
      <c r="AL14" s="2" t="s">
        <v>29</v>
      </c>
      <c r="AM14" s="2" t="s">
        <v>29</v>
      </c>
    </row>
    <row r="15">
      <c r="A15" s="2">
        <v>1.14434128509E11</v>
      </c>
      <c r="B15" s="3">
        <v>45210.61046296296</v>
      </c>
      <c r="C15" s="3">
        <v>45210.61174768519</v>
      </c>
      <c r="D15" s="2" t="s">
        <v>245</v>
      </c>
      <c r="E15" s="4">
        <v>111.0</v>
      </c>
      <c r="F15" s="2" t="s">
        <v>28</v>
      </c>
      <c r="G15" s="2" t="s">
        <v>29</v>
      </c>
      <c r="H15" s="2" t="s">
        <v>29</v>
      </c>
      <c r="I15" s="2" t="s">
        <v>29</v>
      </c>
      <c r="J15" s="2">
        <v>4.27944757E8</v>
      </c>
      <c r="K15" s="2" t="s">
        <v>30</v>
      </c>
      <c r="L15" s="2" t="s">
        <v>29</v>
      </c>
      <c r="M15" s="2" t="s">
        <v>29</v>
      </c>
      <c r="N15" s="2" t="s">
        <v>171</v>
      </c>
      <c r="O15" s="2" t="s">
        <v>29</v>
      </c>
      <c r="P15" s="2" t="s">
        <v>29</v>
      </c>
      <c r="Q15" s="2" t="s">
        <v>29</v>
      </c>
      <c r="R15" s="2" t="s">
        <v>29</v>
      </c>
      <c r="S15" s="2" t="s">
        <v>29</v>
      </c>
      <c r="T15" s="2" t="s">
        <v>29</v>
      </c>
      <c r="U15" s="2" t="s">
        <v>246</v>
      </c>
      <c r="V15" s="2" t="s">
        <v>29</v>
      </c>
      <c r="W15" s="2" t="s">
        <v>29</v>
      </c>
      <c r="X15" s="2" t="s">
        <v>29</v>
      </c>
      <c r="Y15" s="2" t="s">
        <v>29</v>
      </c>
      <c r="Z15" s="2" t="s">
        <v>29</v>
      </c>
      <c r="AA15" s="2" t="s">
        <v>33</v>
      </c>
      <c r="AB15" s="2" t="s">
        <v>29</v>
      </c>
      <c r="AC15" s="2" t="s">
        <v>34</v>
      </c>
      <c r="AD15" s="2" t="s">
        <v>29</v>
      </c>
      <c r="AE15" s="2" t="s">
        <v>125</v>
      </c>
      <c r="AF15" s="2" t="s">
        <v>247</v>
      </c>
      <c r="AG15" s="2" t="s">
        <v>33</v>
      </c>
      <c r="AH15" s="2" t="s">
        <v>29</v>
      </c>
      <c r="AI15" s="2" t="s">
        <v>29</v>
      </c>
      <c r="AJ15" s="2" t="s">
        <v>29</v>
      </c>
      <c r="AK15" s="2" t="s">
        <v>36</v>
      </c>
      <c r="AL15" s="2" t="s">
        <v>29</v>
      </c>
      <c r="AM15" s="2" t="s">
        <v>29</v>
      </c>
    </row>
    <row r="16">
      <c r="A16" s="2">
        <v>1.14434127719E11</v>
      </c>
      <c r="B16" s="3">
        <v>45210.609918981485</v>
      </c>
      <c r="C16" s="3">
        <v>45210.61561342593</v>
      </c>
      <c r="D16" s="2" t="s">
        <v>239</v>
      </c>
      <c r="E16" s="4">
        <v>492.0</v>
      </c>
      <c r="F16" s="2" t="s">
        <v>28</v>
      </c>
      <c r="G16" s="2" t="s">
        <v>29</v>
      </c>
      <c r="H16" s="2" t="s">
        <v>29</v>
      </c>
      <c r="I16" s="2" t="s">
        <v>29</v>
      </c>
      <c r="J16" s="2">
        <v>4.27944757E8</v>
      </c>
      <c r="K16" s="2" t="s">
        <v>30</v>
      </c>
      <c r="L16" s="2" t="s">
        <v>29</v>
      </c>
      <c r="M16" s="2" t="s">
        <v>29</v>
      </c>
      <c r="N16" s="2" t="s">
        <v>171</v>
      </c>
      <c r="O16" s="2" t="s">
        <v>29</v>
      </c>
      <c r="P16" s="2" t="s">
        <v>29</v>
      </c>
      <c r="Q16" s="2" t="s">
        <v>29</v>
      </c>
      <c r="R16" s="2" t="s">
        <v>29</v>
      </c>
      <c r="S16" s="2" t="s">
        <v>29</v>
      </c>
      <c r="T16" s="2" t="s">
        <v>29</v>
      </c>
      <c r="U16" s="2" t="s">
        <v>248</v>
      </c>
      <c r="V16" s="2" t="s">
        <v>29</v>
      </c>
      <c r="W16" s="2" t="s">
        <v>29</v>
      </c>
      <c r="X16" s="2" t="s">
        <v>29</v>
      </c>
      <c r="Y16" s="2" t="s">
        <v>29</v>
      </c>
      <c r="Z16" s="2" t="s">
        <v>29</v>
      </c>
      <c r="AA16" s="2" t="s">
        <v>33</v>
      </c>
      <c r="AB16" s="2" t="s">
        <v>249</v>
      </c>
      <c r="AC16" s="2" t="s">
        <v>34</v>
      </c>
      <c r="AD16" s="2" t="s">
        <v>250</v>
      </c>
      <c r="AE16" s="2" t="s">
        <v>33</v>
      </c>
      <c r="AF16" s="2" t="s">
        <v>251</v>
      </c>
      <c r="AG16" s="2" t="s">
        <v>33</v>
      </c>
      <c r="AH16" s="2" t="s">
        <v>252</v>
      </c>
      <c r="AI16" s="2" t="s">
        <v>29</v>
      </c>
      <c r="AJ16" s="2" t="s">
        <v>29</v>
      </c>
      <c r="AK16" s="2" t="s">
        <v>95</v>
      </c>
      <c r="AL16" s="2" t="s">
        <v>29</v>
      </c>
      <c r="AM16" s="2" t="s">
        <v>29</v>
      </c>
    </row>
    <row r="17">
      <c r="A17" s="2">
        <v>1.14446825421E11</v>
      </c>
      <c r="B17" s="3">
        <v>45225.55737268519</v>
      </c>
      <c r="C17" s="3">
        <v>45225.55755787037</v>
      </c>
      <c r="D17" s="2" t="s">
        <v>253</v>
      </c>
      <c r="E17" s="4">
        <v>16.0</v>
      </c>
      <c r="F17" s="2" t="s">
        <v>53</v>
      </c>
      <c r="G17" s="2" t="s">
        <v>29</v>
      </c>
      <c r="H17" s="2" t="s">
        <v>29</v>
      </c>
      <c r="I17" s="2" t="s">
        <v>29</v>
      </c>
      <c r="J17" s="2">
        <v>4.27944757E8</v>
      </c>
      <c r="K17" s="2" t="s">
        <v>30</v>
      </c>
      <c r="L17" s="2" t="s">
        <v>29</v>
      </c>
      <c r="M17" s="2" t="s">
        <v>29</v>
      </c>
      <c r="N17" s="2" t="s">
        <v>254</v>
      </c>
      <c r="O17" s="2" t="s">
        <v>29</v>
      </c>
      <c r="P17" s="2" t="s">
        <v>29</v>
      </c>
      <c r="Q17" s="2" t="s">
        <v>29</v>
      </c>
      <c r="R17" s="2" t="s">
        <v>29</v>
      </c>
      <c r="S17" s="2" t="s">
        <v>255</v>
      </c>
      <c r="T17" s="2" t="s">
        <v>29</v>
      </c>
      <c r="U17" s="2" t="s">
        <v>29</v>
      </c>
      <c r="V17" s="2" t="s">
        <v>29</v>
      </c>
      <c r="W17" s="2" t="s">
        <v>29</v>
      </c>
      <c r="X17" s="2" t="s">
        <v>29</v>
      </c>
      <c r="Y17" s="2" t="s">
        <v>29</v>
      </c>
      <c r="Z17" s="2" t="s">
        <v>29</v>
      </c>
      <c r="AA17" s="2" t="s">
        <v>29</v>
      </c>
      <c r="AB17" s="2" t="s">
        <v>29</v>
      </c>
      <c r="AC17" s="2" t="s">
        <v>29</v>
      </c>
      <c r="AD17" s="2" t="s">
        <v>29</v>
      </c>
      <c r="AE17" s="2" t="s">
        <v>29</v>
      </c>
      <c r="AF17" s="2" t="s">
        <v>29</v>
      </c>
      <c r="AG17" s="2" t="s">
        <v>29</v>
      </c>
      <c r="AH17" s="2" t="s">
        <v>29</v>
      </c>
      <c r="AI17" s="2" t="s">
        <v>29</v>
      </c>
      <c r="AJ17" s="2" t="s">
        <v>29</v>
      </c>
      <c r="AK17" s="2" t="s">
        <v>29</v>
      </c>
      <c r="AL17" s="2" t="s">
        <v>29</v>
      </c>
      <c r="AM17" s="2" t="s">
        <v>29</v>
      </c>
    </row>
    <row r="18">
      <c r="A18" s="2">
        <v>1.1444810186E11</v>
      </c>
      <c r="B18" s="3">
        <v>45226.79342592593</v>
      </c>
      <c r="C18" s="3">
        <v>45226.79622685185</v>
      </c>
      <c r="D18" s="2" t="s">
        <v>256</v>
      </c>
      <c r="E18" s="4">
        <v>241.0</v>
      </c>
      <c r="F18" s="2" t="s">
        <v>28</v>
      </c>
      <c r="G18" s="2" t="s">
        <v>29</v>
      </c>
      <c r="H18" s="2" t="s">
        <v>29</v>
      </c>
      <c r="I18" s="2" t="s">
        <v>29</v>
      </c>
      <c r="J18" s="2">
        <v>4.27944757E8</v>
      </c>
      <c r="K18" s="2" t="s">
        <v>30</v>
      </c>
      <c r="L18" s="2" t="s">
        <v>29</v>
      </c>
      <c r="M18" s="2" t="s">
        <v>29</v>
      </c>
      <c r="N18" s="2" t="s">
        <v>82</v>
      </c>
      <c r="O18" s="2" t="s">
        <v>29</v>
      </c>
      <c r="P18" s="2" t="s">
        <v>257</v>
      </c>
      <c r="Q18" s="2" t="s">
        <v>29</v>
      </c>
      <c r="R18" s="2" t="s">
        <v>29</v>
      </c>
      <c r="S18" s="2" t="s">
        <v>29</v>
      </c>
      <c r="T18" s="2" t="s">
        <v>29</v>
      </c>
      <c r="U18" s="2" t="s">
        <v>29</v>
      </c>
      <c r="V18" s="2" t="s">
        <v>29</v>
      </c>
      <c r="W18" s="2" t="s">
        <v>29</v>
      </c>
      <c r="X18" s="2" t="s">
        <v>29</v>
      </c>
      <c r="Y18" s="2" t="s">
        <v>29</v>
      </c>
      <c r="Z18" s="2" t="s">
        <v>29</v>
      </c>
      <c r="AA18" s="2" t="s">
        <v>94</v>
      </c>
      <c r="AB18" s="2" t="s">
        <v>29</v>
      </c>
      <c r="AC18" s="2" t="s">
        <v>34</v>
      </c>
      <c r="AD18" s="2" t="s">
        <v>29</v>
      </c>
      <c r="AE18" s="2" t="s">
        <v>33</v>
      </c>
      <c r="AF18" s="2" t="s">
        <v>29</v>
      </c>
      <c r="AG18" s="2" t="s">
        <v>94</v>
      </c>
      <c r="AH18" s="2" t="s">
        <v>29</v>
      </c>
      <c r="AI18" s="2" t="s">
        <v>94</v>
      </c>
      <c r="AJ18" s="2" t="s">
        <v>29</v>
      </c>
      <c r="AK18" s="2" t="s">
        <v>95</v>
      </c>
      <c r="AL18" s="2" t="s">
        <v>29</v>
      </c>
      <c r="AM18" s="2" t="s">
        <v>29</v>
      </c>
    </row>
    <row r="19">
      <c r="A19" s="2">
        <v>1.14448133902E11</v>
      </c>
      <c r="B19" s="3">
        <v>45226.8190625</v>
      </c>
      <c r="C19" s="3">
        <v>45226.81972222222</v>
      </c>
      <c r="D19" s="2" t="s">
        <v>258</v>
      </c>
      <c r="E19" s="4">
        <v>57.0</v>
      </c>
      <c r="F19" s="2" t="s">
        <v>28</v>
      </c>
      <c r="G19" s="2" t="s">
        <v>29</v>
      </c>
      <c r="H19" s="2" t="s">
        <v>29</v>
      </c>
      <c r="I19" s="2" t="s">
        <v>29</v>
      </c>
      <c r="J19" s="2">
        <v>4.27944757E8</v>
      </c>
      <c r="K19" s="2" t="s">
        <v>30</v>
      </c>
      <c r="L19" s="2" t="s">
        <v>29</v>
      </c>
      <c r="M19" s="2" t="s">
        <v>29</v>
      </c>
      <c r="N19" s="2" t="s">
        <v>82</v>
      </c>
      <c r="O19" s="2" t="s">
        <v>29</v>
      </c>
      <c r="P19" s="2" t="s">
        <v>259</v>
      </c>
      <c r="Q19" s="2" t="s">
        <v>29</v>
      </c>
      <c r="R19" s="2" t="s">
        <v>29</v>
      </c>
      <c r="S19" s="2" t="s">
        <v>29</v>
      </c>
      <c r="T19" s="2" t="s">
        <v>29</v>
      </c>
      <c r="U19" s="2" t="s">
        <v>29</v>
      </c>
      <c r="V19" s="2" t="s">
        <v>29</v>
      </c>
      <c r="W19" s="2" t="s">
        <v>29</v>
      </c>
      <c r="X19" s="2" t="s">
        <v>29</v>
      </c>
      <c r="Y19" s="2" t="s">
        <v>29</v>
      </c>
      <c r="Z19" s="2" t="s">
        <v>29</v>
      </c>
      <c r="AA19" s="2" t="s">
        <v>33</v>
      </c>
      <c r="AB19" s="2" t="s">
        <v>29</v>
      </c>
      <c r="AC19" s="2" t="s">
        <v>34</v>
      </c>
      <c r="AD19" s="2" t="s">
        <v>29</v>
      </c>
      <c r="AE19" s="2" t="s">
        <v>125</v>
      </c>
      <c r="AF19" s="2" t="s">
        <v>29</v>
      </c>
      <c r="AG19" s="2" t="s">
        <v>94</v>
      </c>
      <c r="AH19" s="2" t="s">
        <v>29</v>
      </c>
      <c r="AI19" s="2" t="s">
        <v>94</v>
      </c>
      <c r="AJ19" s="2" t="s">
        <v>29</v>
      </c>
      <c r="AK19" s="2" t="s">
        <v>95</v>
      </c>
      <c r="AL19" s="2" t="s">
        <v>29</v>
      </c>
      <c r="AM19" s="2" t="s">
        <v>29</v>
      </c>
    </row>
    <row r="20">
      <c r="A20" s="2">
        <v>1.14449356059E11</v>
      </c>
      <c r="B20" s="3">
        <v>45229.43701388889</v>
      </c>
      <c r="C20" s="3">
        <v>45229.43917824074</v>
      </c>
      <c r="D20" s="2" t="s">
        <v>260</v>
      </c>
      <c r="E20" s="4">
        <v>186.0</v>
      </c>
      <c r="F20" s="2" t="s">
        <v>28</v>
      </c>
      <c r="G20" s="2" t="s">
        <v>29</v>
      </c>
      <c r="H20" s="2" t="s">
        <v>29</v>
      </c>
      <c r="I20" s="2" t="s">
        <v>29</v>
      </c>
      <c r="J20" s="2">
        <v>4.27944757E8</v>
      </c>
      <c r="K20" s="2" t="s">
        <v>30</v>
      </c>
      <c r="L20" s="2" t="s">
        <v>29</v>
      </c>
      <c r="M20" s="2" t="s">
        <v>29</v>
      </c>
      <c r="N20" s="2" t="s">
        <v>261</v>
      </c>
      <c r="O20" s="2" t="s">
        <v>29</v>
      </c>
      <c r="P20" s="2" t="s">
        <v>29</v>
      </c>
      <c r="Q20" s="2" t="s">
        <v>29</v>
      </c>
      <c r="R20" s="2" t="s">
        <v>29</v>
      </c>
      <c r="S20" s="2" t="s">
        <v>29</v>
      </c>
      <c r="T20" s="2" t="s">
        <v>29</v>
      </c>
      <c r="U20" s="2" t="s">
        <v>29</v>
      </c>
      <c r="V20" s="2" t="s">
        <v>29</v>
      </c>
      <c r="W20" s="2" t="s">
        <v>29</v>
      </c>
      <c r="X20" s="2" t="s">
        <v>29</v>
      </c>
      <c r="Y20" s="2" t="s">
        <v>29</v>
      </c>
      <c r="Z20" s="2" t="s">
        <v>29</v>
      </c>
      <c r="AA20" s="2" t="s">
        <v>33</v>
      </c>
      <c r="AB20" s="2" t="s">
        <v>29</v>
      </c>
      <c r="AC20" s="2" t="s">
        <v>34</v>
      </c>
      <c r="AD20" s="2" t="s">
        <v>29</v>
      </c>
      <c r="AE20" s="2" t="s">
        <v>33</v>
      </c>
      <c r="AF20" s="2" t="s">
        <v>29</v>
      </c>
      <c r="AG20" s="2" t="s">
        <v>94</v>
      </c>
      <c r="AH20" s="2" t="s">
        <v>29</v>
      </c>
      <c r="AI20" s="2" t="s">
        <v>29</v>
      </c>
      <c r="AJ20" s="2" t="s">
        <v>29</v>
      </c>
      <c r="AK20" s="2" t="s">
        <v>95</v>
      </c>
      <c r="AL20" s="2" t="s">
        <v>29</v>
      </c>
      <c r="AM20" s="2" t="s">
        <v>29</v>
      </c>
    </row>
    <row r="21">
      <c r="A21" s="2">
        <v>1.14449366008E11</v>
      </c>
      <c r="B21" s="3">
        <v>45229.453148148146</v>
      </c>
      <c r="C21" s="3">
        <v>45229.45414351852</v>
      </c>
      <c r="D21" s="2" t="s">
        <v>262</v>
      </c>
      <c r="E21" s="4">
        <v>85.0</v>
      </c>
      <c r="F21" s="2" t="s">
        <v>28</v>
      </c>
      <c r="G21" s="2" t="s">
        <v>29</v>
      </c>
      <c r="H21" s="2" t="s">
        <v>29</v>
      </c>
      <c r="I21" s="2" t="s">
        <v>29</v>
      </c>
      <c r="J21" s="2">
        <v>4.27944757E8</v>
      </c>
      <c r="K21" s="2" t="s">
        <v>30</v>
      </c>
      <c r="L21" s="2" t="s">
        <v>29</v>
      </c>
      <c r="M21" s="2" t="s">
        <v>29</v>
      </c>
      <c r="N21" s="2" t="s">
        <v>171</v>
      </c>
      <c r="O21" s="2" t="s">
        <v>29</v>
      </c>
      <c r="P21" s="2" t="s">
        <v>29</v>
      </c>
      <c r="Q21" s="2" t="s">
        <v>29</v>
      </c>
      <c r="R21" s="2" t="s">
        <v>29</v>
      </c>
      <c r="S21" s="2" t="s">
        <v>29</v>
      </c>
      <c r="T21" s="2" t="s">
        <v>29</v>
      </c>
      <c r="U21" s="2" t="s">
        <v>263</v>
      </c>
      <c r="V21" s="2" t="s">
        <v>29</v>
      </c>
      <c r="W21" s="2" t="s">
        <v>29</v>
      </c>
      <c r="X21" s="2" t="s">
        <v>29</v>
      </c>
      <c r="Y21" s="2" t="s">
        <v>29</v>
      </c>
      <c r="Z21" s="2" t="s">
        <v>29</v>
      </c>
      <c r="AA21" s="2" t="s">
        <v>33</v>
      </c>
      <c r="AB21" s="2" t="s">
        <v>29</v>
      </c>
      <c r="AC21" s="2" t="s">
        <v>34</v>
      </c>
      <c r="AD21" s="2" t="s">
        <v>29</v>
      </c>
      <c r="AE21" s="2" t="s">
        <v>33</v>
      </c>
      <c r="AF21" s="2" t="s">
        <v>29</v>
      </c>
      <c r="AG21" s="2" t="s">
        <v>33</v>
      </c>
      <c r="AH21" s="2" t="s">
        <v>29</v>
      </c>
      <c r="AI21" s="2" t="s">
        <v>59</v>
      </c>
      <c r="AJ21" s="2" t="s">
        <v>29</v>
      </c>
      <c r="AK21" s="2" t="s">
        <v>36</v>
      </c>
      <c r="AL21" s="2" t="s">
        <v>29</v>
      </c>
      <c r="AM21" s="2" t="s">
        <v>29</v>
      </c>
    </row>
    <row r="22">
      <c r="A22" s="2">
        <v>1.14449366667E11</v>
      </c>
      <c r="B22" s="3">
        <v>45229.45425925926</v>
      </c>
      <c r="C22" s="3">
        <v>45229.45482638889</v>
      </c>
      <c r="D22" s="2" t="s">
        <v>262</v>
      </c>
      <c r="E22" s="4">
        <v>48.0</v>
      </c>
      <c r="F22" s="2" t="s">
        <v>28</v>
      </c>
      <c r="G22" s="2" t="s">
        <v>29</v>
      </c>
      <c r="H22" s="2" t="s">
        <v>29</v>
      </c>
      <c r="I22" s="2" t="s">
        <v>29</v>
      </c>
      <c r="J22" s="2">
        <v>4.27944757E8</v>
      </c>
      <c r="K22" s="2" t="s">
        <v>30</v>
      </c>
      <c r="L22" s="2" t="s">
        <v>29</v>
      </c>
      <c r="M22" s="2" t="s">
        <v>29</v>
      </c>
      <c r="N22" s="2" t="s">
        <v>171</v>
      </c>
      <c r="O22" s="2" t="s">
        <v>29</v>
      </c>
      <c r="P22" s="2" t="s">
        <v>29</v>
      </c>
      <c r="Q22" s="2" t="s">
        <v>29</v>
      </c>
      <c r="R22" s="2" t="s">
        <v>29</v>
      </c>
      <c r="S22" s="2" t="s">
        <v>29</v>
      </c>
      <c r="T22" s="2" t="s">
        <v>29</v>
      </c>
      <c r="U22" s="2" t="s">
        <v>264</v>
      </c>
      <c r="V22" s="2" t="s">
        <v>29</v>
      </c>
      <c r="W22" s="2" t="s">
        <v>29</v>
      </c>
      <c r="X22" s="2" t="s">
        <v>29</v>
      </c>
      <c r="Y22" s="2" t="s">
        <v>29</v>
      </c>
      <c r="Z22" s="2" t="s">
        <v>29</v>
      </c>
      <c r="AA22" s="2" t="s">
        <v>33</v>
      </c>
      <c r="AB22" s="2" t="s">
        <v>29</v>
      </c>
      <c r="AC22" s="2" t="s">
        <v>34</v>
      </c>
      <c r="AD22" s="2" t="s">
        <v>29</v>
      </c>
      <c r="AE22" s="2" t="s">
        <v>33</v>
      </c>
      <c r="AF22" s="2" t="s">
        <v>29</v>
      </c>
      <c r="AG22" s="2" t="s">
        <v>33</v>
      </c>
      <c r="AH22" s="2" t="s">
        <v>29</v>
      </c>
      <c r="AI22" s="2" t="s">
        <v>59</v>
      </c>
      <c r="AJ22" s="2" t="s">
        <v>29</v>
      </c>
      <c r="AK22" s="2" t="s">
        <v>36</v>
      </c>
      <c r="AL22" s="2" t="s">
        <v>29</v>
      </c>
      <c r="AM22" s="2" t="s">
        <v>29</v>
      </c>
    </row>
    <row r="23">
      <c r="A23" s="2">
        <v>1.14455280925E11</v>
      </c>
      <c r="B23" s="3">
        <v>45235.66578703704</v>
      </c>
      <c r="C23" s="3">
        <v>45235.66594907407</v>
      </c>
      <c r="D23" s="2" t="s">
        <v>265</v>
      </c>
      <c r="E23" s="4">
        <v>14.0</v>
      </c>
      <c r="F23" s="2" t="s">
        <v>53</v>
      </c>
      <c r="G23" s="2" t="s">
        <v>29</v>
      </c>
      <c r="H23" s="2" t="s">
        <v>29</v>
      </c>
      <c r="I23" s="2" t="s">
        <v>29</v>
      </c>
      <c r="J23" s="2">
        <v>4.27944757E8</v>
      </c>
      <c r="K23" s="2" t="s">
        <v>30</v>
      </c>
      <c r="L23" s="2" t="s">
        <v>29</v>
      </c>
      <c r="M23" s="2" t="s">
        <v>29</v>
      </c>
      <c r="N23" s="2" t="s">
        <v>203</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c r="AC23" s="2" t="s">
        <v>29</v>
      </c>
      <c r="AD23" s="2" t="s">
        <v>29</v>
      </c>
      <c r="AE23" s="2" t="s">
        <v>29</v>
      </c>
      <c r="AF23" s="2" t="s">
        <v>29</v>
      </c>
      <c r="AG23" s="2" t="s">
        <v>29</v>
      </c>
      <c r="AH23" s="2" t="s">
        <v>29</v>
      </c>
      <c r="AI23" s="2" t="s">
        <v>29</v>
      </c>
      <c r="AJ23" s="2" t="s">
        <v>29</v>
      </c>
      <c r="AK23" s="2" t="s">
        <v>29</v>
      </c>
      <c r="AL23" s="2" t="s">
        <v>29</v>
      </c>
      <c r="AM23" s="2" t="s">
        <v>29</v>
      </c>
    </row>
    <row r="24">
      <c r="A24" s="2">
        <v>1.14455281192E11</v>
      </c>
      <c r="B24" s="3">
        <v>45235.66631944444</v>
      </c>
      <c r="C24" s="3">
        <v>45235.666354166664</v>
      </c>
      <c r="D24" s="2" t="s">
        <v>265</v>
      </c>
      <c r="E24" s="4">
        <v>2.0</v>
      </c>
      <c r="F24" s="2" t="s">
        <v>53</v>
      </c>
      <c r="G24" s="2" t="s">
        <v>29</v>
      </c>
      <c r="H24" s="2" t="s">
        <v>29</v>
      </c>
      <c r="I24" s="2" t="s">
        <v>29</v>
      </c>
      <c r="J24" s="2">
        <v>4.27944757E8</v>
      </c>
      <c r="K24" s="2" t="s">
        <v>30</v>
      </c>
      <c r="L24" s="2" t="s">
        <v>29</v>
      </c>
      <c r="M24" s="2" t="s">
        <v>29</v>
      </c>
      <c r="N24" s="2" t="s">
        <v>203</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c r="AC24" s="2" t="s">
        <v>29</v>
      </c>
      <c r="AD24" s="2" t="s">
        <v>29</v>
      </c>
      <c r="AE24" s="2" t="s">
        <v>29</v>
      </c>
      <c r="AF24" s="2" t="s">
        <v>29</v>
      </c>
      <c r="AG24" s="2" t="s">
        <v>29</v>
      </c>
      <c r="AH24" s="2" t="s">
        <v>29</v>
      </c>
      <c r="AI24" s="2" t="s">
        <v>29</v>
      </c>
      <c r="AJ24" s="2" t="s">
        <v>29</v>
      </c>
      <c r="AK24" s="2" t="s">
        <v>29</v>
      </c>
      <c r="AL24" s="2" t="s">
        <v>29</v>
      </c>
      <c r="AM24" s="2" t="s">
        <v>29</v>
      </c>
    </row>
    <row r="25">
      <c r="A25" s="2">
        <v>1.14456007085E11</v>
      </c>
      <c r="B25" s="3">
        <v>45236.62459490741</v>
      </c>
      <c r="C25" s="3">
        <v>45236.63065972222</v>
      </c>
      <c r="D25" s="2" t="s">
        <v>266</v>
      </c>
      <c r="E25" s="4">
        <v>524.0</v>
      </c>
      <c r="F25" s="2" t="s">
        <v>28</v>
      </c>
      <c r="G25" s="2" t="s">
        <v>29</v>
      </c>
      <c r="H25" s="2" t="s">
        <v>29</v>
      </c>
      <c r="I25" s="2" t="s">
        <v>29</v>
      </c>
      <c r="J25" s="2">
        <v>4.27944757E8</v>
      </c>
      <c r="K25" s="2" t="s">
        <v>30</v>
      </c>
      <c r="L25" s="2" t="s">
        <v>29</v>
      </c>
      <c r="M25" s="2" t="s">
        <v>29</v>
      </c>
      <c r="N25" s="2" t="s">
        <v>267</v>
      </c>
      <c r="O25" s="2" t="s">
        <v>29</v>
      </c>
      <c r="P25" s="2" t="s">
        <v>29</v>
      </c>
      <c r="Q25" s="2" t="s">
        <v>29</v>
      </c>
      <c r="R25" s="2" t="s">
        <v>29</v>
      </c>
      <c r="S25" s="2" t="s">
        <v>29</v>
      </c>
      <c r="T25" s="2" t="s">
        <v>29</v>
      </c>
      <c r="U25" s="2" t="s">
        <v>29</v>
      </c>
      <c r="V25" s="2" t="s">
        <v>29</v>
      </c>
      <c r="W25" s="2" t="s">
        <v>29</v>
      </c>
      <c r="X25" s="2" t="s">
        <v>29</v>
      </c>
      <c r="Y25" s="2" t="s">
        <v>29</v>
      </c>
      <c r="Z25" s="2" t="s">
        <v>29</v>
      </c>
      <c r="AA25" s="2" t="s">
        <v>33</v>
      </c>
      <c r="AB25" s="2" t="s">
        <v>29</v>
      </c>
      <c r="AC25" s="2" t="s">
        <v>34</v>
      </c>
      <c r="AD25" s="2" t="s">
        <v>29</v>
      </c>
      <c r="AE25" s="2" t="s">
        <v>33</v>
      </c>
      <c r="AF25" s="2" t="s">
        <v>268</v>
      </c>
      <c r="AG25" s="2" t="s">
        <v>33</v>
      </c>
      <c r="AH25" s="2" t="s">
        <v>29</v>
      </c>
      <c r="AI25" s="2" t="s">
        <v>29</v>
      </c>
      <c r="AJ25" s="2" t="s">
        <v>29</v>
      </c>
      <c r="AK25" s="2" t="s">
        <v>34</v>
      </c>
      <c r="AL25" s="2" t="s">
        <v>29</v>
      </c>
      <c r="AM25" s="2" t="s">
        <v>122</v>
      </c>
    </row>
    <row r="26">
      <c r="A26" s="2">
        <v>1.14456037685E11</v>
      </c>
      <c r="B26" s="3">
        <v>45236.64335648148</v>
      </c>
      <c r="C26" s="3">
        <v>45236.64461805556</v>
      </c>
      <c r="D26" s="2" t="s">
        <v>269</v>
      </c>
      <c r="E26" s="4">
        <v>108.0</v>
      </c>
      <c r="F26" s="2" t="s">
        <v>28</v>
      </c>
      <c r="G26" s="2" t="s">
        <v>29</v>
      </c>
      <c r="H26" s="2" t="s">
        <v>29</v>
      </c>
      <c r="I26" s="2" t="s">
        <v>29</v>
      </c>
      <c r="J26" s="2">
        <v>4.27944757E8</v>
      </c>
      <c r="K26" s="2" t="s">
        <v>30</v>
      </c>
      <c r="L26" s="2" t="s">
        <v>29</v>
      </c>
      <c r="M26" s="2" t="s">
        <v>29</v>
      </c>
      <c r="N26" s="2" t="s">
        <v>203</v>
      </c>
      <c r="O26" s="2" t="s">
        <v>29</v>
      </c>
      <c r="P26" s="2" t="s">
        <v>29</v>
      </c>
      <c r="Q26" s="2" t="s">
        <v>183</v>
      </c>
      <c r="R26" s="2" t="s">
        <v>29</v>
      </c>
      <c r="S26" s="2" t="s">
        <v>29</v>
      </c>
      <c r="T26" s="2" t="s">
        <v>29</v>
      </c>
      <c r="U26" s="2" t="s">
        <v>29</v>
      </c>
      <c r="V26" s="2" t="s">
        <v>29</v>
      </c>
      <c r="W26" s="2" t="s">
        <v>29</v>
      </c>
      <c r="X26" s="2" t="s">
        <v>29</v>
      </c>
      <c r="Y26" s="2" t="s">
        <v>29</v>
      </c>
      <c r="Z26" s="2" t="s">
        <v>29</v>
      </c>
      <c r="AA26" s="2" t="s">
        <v>33</v>
      </c>
      <c r="AB26" s="2" t="s">
        <v>29</v>
      </c>
      <c r="AC26" s="2" t="s">
        <v>34</v>
      </c>
      <c r="AD26" s="2" t="s">
        <v>29</v>
      </c>
      <c r="AE26" s="2" t="s">
        <v>33</v>
      </c>
      <c r="AF26" s="2" t="s">
        <v>270</v>
      </c>
      <c r="AG26" s="2" t="s">
        <v>33</v>
      </c>
      <c r="AH26" s="2" t="s">
        <v>29</v>
      </c>
      <c r="AI26" s="2" t="s">
        <v>29</v>
      </c>
      <c r="AJ26" s="2" t="s">
        <v>271</v>
      </c>
      <c r="AK26" s="2" t="s">
        <v>34</v>
      </c>
      <c r="AL26" s="2" t="s">
        <v>29</v>
      </c>
      <c r="AM26" s="2" t="s">
        <v>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s>
  <sheetData>
    <row r="1">
      <c r="A1" s="2" t="s">
        <v>272</v>
      </c>
      <c r="B1" s="2" t="s">
        <v>273</v>
      </c>
    </row>
    <row r="2">
      <c r="A2" s="2" t="s">
        <v>169</v>
      </c>
      <c r="B2" s="2">
        <v>1.0</v>
      </c>
    </row>
    <row r="3">
      <c r="A3" s="2" t="s">
        <v>274</v>
      </c>
      <c r="B3" s="2">
        <v>2.0</v>
      </c>
    </row>
    <row r="4">
      <c r="A4" s="2" t="s">
        <v>116</v>
      </c>
      <c r="B4" s="2">
        <v>3.0</v>
      </c>
    </row>
    <row r="5">
      <c r="A5" s="2" t="s">
        <v>59</v>
      </c>
      <c r="B5" s="2">
        <v>4.0</v>
      </c>
    </row>
    <row r="6">
      <c r="A6" s="2" t="s">
        <v>94</v>
      </c>
      <c r="B6" s="2">
        <v>5.0</v>
      </c>
    </row>
    <row r="7">
      <c r="A7" s="5" t="s">
        <v>33</v>
      </c>
      <c r="B7" s="2">
        <v>6.0</v>
      </c>
    </row>
    <row r="8">
      <c r="A8" s="2" t="s">
        <v>275</v>
      </c>
      <c r="B8" s="2">
        <v>1.0</v>
      </c>
    </row>
    <row r="9">
      <c r="A9" s="2" t="s">
        <v>238</v>
      </c>
      <c r="B9" s="2">
        <v>2.0</v>
      </c>
    </row>
    <row r="10">
      <c r="A10" s="2" t="s">
        <v>110</v>
      </c>
      <c r="B10" s="2">
        <v>3.0</v>
      </c>
    </row>
    <row r="11">
      <c r="A11" s="2" t="s">
        <v>95</v>
      </c>
      <c r="B11" s="2">
        <v>4.0</v>
      </c>
    </row>
    <row r="12">
      <c r="A12" s="5" t="s">
        <v>36</v>
      </c>
      <c r="B12" s="2">
        <v>5.0</v>
      </c>
    </row>
    <row r="13">
      <c r="A13" s="2" t="s">
        <v>34</v>
      </c>
      <c r="B13" s="2">
        <v>6.0</v>
      </c>
    </row>
    <row r="14">
      <c r="A14" s="5" t="s">
        <v>29</v>
      </c>
    </row>
    <row r="15">
      <c r="A15" s="5" t="s">
        <v>125</v>
      </c>
      <c r="B15" s="2">
        <v>5.0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s>
  <sheetData>
    <row r="1">
      <c r="A1" s="6" t="s">
        <v>263</v>
      </c>
      <c r="B1" s="7" t="s">
        <v>276</v>
      </c>
      <c r="C1" s="7"/>
      <c r="D1" s="8" t="s">
        <v>277</v>
      </c>
    </row>
    <row r="2">
      <c r="A2" s="6" t="s">
        <v>248</v>
      </c>
      <c r="B2" s="7" t="s">
        <v>278</v>
      </c>
      <c r="C2" s="7"/>
    </row>
    <row r="3">
      <c r="A3" s="6"/>
      <c r="B3" s="7"/>
      <c r="C3" s="7"/>
    </row>
    <row r="4">
      <c r="A4" s="6"/>
      <c r="B4" s="7"/>
      <c r="C4" s="7"/>
    </row>
    <row r="5">
      <c r="A5" s="9" t="str">
        <f>IFERROR(__xludf.DUMMYFUNCTION("QUERY(IMPORTRANGE(""https://docs.google.com/spreadsheets/d/1a0Vn8VuzQrdl0jyTLCpfh1956x3u7fUgYxhNH26Dhrk/edit#gid=0"",""Alle!A2:G""), ""select Col1,Col2 where Col1 is not null and Col6 is not null and Col2 is not null order by Col1 "", false)"),"#REF!")</f>
        <v>#REF!</v>
      </c>
    </row>
  </sheetData>
  <mergeCells count="1">
    <mergeCell ref="D1:D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5" max="45" width="51.25"/>
    <col customWidth="1" min="48" max="49" width="17.63"/>
    <col customWidth="1" min="50" max="62" width="18.38"/>
  </cols>
  <sheetData>
    <row r="1">
      <c r="A1" s="5" t="str">
        <f>IFERROR(__xludf.DUMMYFUNCTION("query('Kundetilfredshetsundersøkelse -'!A:AS,""select * where Col6 = 'completed'"",true)"),"Response ID")</f>
        <v>Response ID</v>
      </c>
      <c r="B1" s="5" t="str">
        <f>IFERROR(__xludf.DUMMYFUNCTION("""COMPUTED_VALUE"""),"Date Created")</f>
        <v>Date Created</v>
      </c>
      <c r="C1" s="5" t="str">
        <f>IFERROR(__xludf.DUMMYFUNCTION("""COMPUTED_VALUE"""),"Date Modified")</f>
        <v>Date Modified</v>
      </c>
      <c r="D1" s="5" t="str">
        <f>IFERROR(__xludf.DUMMYFUNCTION("""COMPUTED_VALUE"""),"IP Address")</f>
        <v>IP Address</v>
      </c>
      <c r="E1" s="5" t="str">
        <f>IFERROR(__xludf.DUMMYFUNCTION("""COMPUTED_VALUE"""),"Duration (sec)")</f>
        <v>Duration (sec)</v>
      </c>
      <c r="F1" s="5" t="str">
        <f>IFERROR(__xludf.DUMMYFUNCTION("""COMPUTED_VALUE"""),"Response Status")</f>
        <v>Response Status</v>
      </c>
      <c r="G1" s="5" t="str">
        <f>IFERROR(__xludf.DUMMYFUNCTION("""COMPUTED_VALUE"""),"Email")</f>
        <v>Email</v>
      </c>
      <c r="H1" s="5" t="str">
        <f>IFERROR(__xludf.DUMMYFUNCTION("""COMPUTED_VALUE"""),"First Name")</f>
        <v>First Name</v>
      </c>
      <c r="I1" s="5" t="str">
        <f>IFERROR(__xludf.DUMMYFUNCTION("""COMPUTED_VALUE"""),"Last Name")</f>
        <v>Last Name</v>
      </c>
      <c r="J1" s="5" t="str">
        <f>IFERROR(__xludf.DUMMYFUNCTION("""COMPUTED_VALUE"""),"Collector ID")</f>
        <v>Collector ID</v>
      </c>
      <c r="K1" s="5" t="str">
        <f>IFERROR(__xludf.DUMMYFUNCTION("""COMPUTED_VALUE"""),"Collector Type")</f>
        <v>Collector Type</v>
      </c>
      <c r="L1" s="5" t="str">
        <f>IFERROR(__xludf.DUMMYFUNCTION("""COMPUTED_VALUE"""),"Custom Value")</f>
        <v>Custom Value</v>
      </c>
      <c r="M1" s="5" t="str">
        <f>IFERROR(__xludf.DUMMYFUNCTION("""COMPUTED_VALUE"""),"Velg selskap/kunde")</f>
        <v>Velg selskap/kunde</v>
      </c>
      <c r="N1" s="5" t="str">
        <f>IFERROR(__xludf.DUMMYFUNCTION("""COMPUTED_VALUE"""),"Tilbakemeldingen gjelder")</f>
        <v>Tilbakemeldingen gjelder</v>
      </c>
      <c r="O1" s="5" t="str">
        <f>IFERROR(__xludf.DUMMYFUNCTION("""COMPUTED_VALUE"""),"Tilbakemeldingen gjelder")</f>
        <v>Tilbakemeldingen gjelder</v>
      </c>
      <c r="P1" s="5" t="str">
        <f>IFERROR(__xludf.DUMMYFUNCTION("""COMPUTED_VALUE"""),"Tilbakemeldingen gjelder")</f>
        <v>Tilbakemeldingen gjelder</v>
      </c>
      <c r="Q1" s="5" t="str">
        <f>IFERROR(__xludf.DUMMYFUNCTION("""COMPUTED_VALUE"""),"Tilbakemeldingen gjelder")</f>
        <v>Tilbakemeldingen gjelder</v>
      </c>
      <c r="R1" s="5" t="str">
        <f>IFERROR(__xludf.DUMMYFUNCTION("""COMPUTED_VALUE"""),"Tilbakemeldingen gjelder")</f>
        <v>Tilbakemeldingen gjelder</v>
      </c>
      <c r="S1" s="5" t="str">
        <f>IFERROR(__xludf.DUMMYFUNCTION("""COMPUTED_VALUE"""),"Tilbakemeldingen gjelder")</f>
        <v>Tilbakemeldingen gjelder</v>
      </c>
      <c r="T1" s="5" t="str">
        <f>IFERROR(__xludf.DUMMYFUNCTION("""COMPUTED_VALUE"""),"Tilbakemeldingen gjelder")</f>
        <v>Tilbakemeldingen gjelder</v>
      </c>
      <c r="U1" s="5" t="str">
        <f>IFERROR(__xludf.DUMMYFUNCTION("""COMPUTED_VALUE"""),"Tilbakemeldingen gjelder")</f>
        <v>Tilbakemeldingen gjelder</v>
      </c>
      <c r="V1" s="5" t="str">
        <f>IFERROR(__xludf.DUMMYFUNCTION("""COMPUTED_VALUE"""),"Tilbakemeldingen gjelder")</f>
        <v>Tilbakemeldingen gjelder</v>
      </c>
      <c r="W1" s="5" t="str">
        <f>IFERROR(__xludf.DUMMYFUNCTION("""COMPUTED_VALUE"""),"Tilbakemeldingen gjelder")</f>
        <v>Tilbakemeldingen gjelder</v>
      </c>
      <c r="X1" s="5" t="str">
        <f>IFERROR(__xludf.DUMMYFUNCTION("""COMPUTED_VALUE"""),"Tilbakemeldingen gjelder")</f>
        <v>Tilbakemeldingen gjelder</v>
      </c>
      <c r="Y1" s="5" t="str">
        <f>IFERROR(__xludf.DUMMYFUNCTION("""COMPUTED_VALUE"""),"Tilbakemeldingen gjelder")</f>
        <v>Tilbakemeldingen gjelder</v>
      </c>
      <c r="Z1" s="5" t="str">
        <f>IFERROR(__xludf.DUMMYFUNCTION("""COMPUTED_VALUE"""),"Tilbakemeldingen gjelder")</f>
        <v>Tilbakemeldingen gjelder</v>
      </c>
      <c r="AA1" s="5" t="str">
        <f>IFERROR(__xludf.DUMMYFUNCTION("""COMPUTED_VALUE"""),"Tilbakemeldingen gjelder")</f>
        <v>Tilbakemeldingen gjelder</v>
      </c>
      <c r="AB1" s="5" t="str">
        <f>IFERROR(__xludf.DUMMYFUNCTION("""COMPUTED_VALUE"""),"Tilbakemeldingen gjelder")</f>
        <v>Tilbakemeldingen gjelder</v>
      </c>
      <c r="AC1" s="5" t="str">
        <f>IFERROR(__xludf.DUMMYFUNCTION("""COMPUTED_VALUE"""),"Tilbakemeldingen gjelder")</f>
        <v>Tilbakemeldingen gjelder</v>
      </c>
      <c r="AD1" s="5" t="str">
        <f>IFERROR(__xludf.DUMMYFUNCTION("""COMPUTED_VALUE"""),"Tilbakemeldingen gjelder")</f>
        <v>Tilbakemeldingen gjelder</v>
      </c>
      <c r="AE1" s="5" t="str">
        <f>IFERROR(__xludf.DUMMYFUNCTION("""COMPUTED_VALUE"""),"Tilbakemeldingen gjelder")</f>
        <v>Tilbakemeldingen gjelder</v>
      </c>
      <c r="AF1" s="5" t="str">
        <f>IFERROR(__xludf.DUMMYFUNCTION("""COMPUTED_VALUE"""),"Tilbakemeldingen gjelder")</f>
        <v>Tilbakemeldingen gjelder</v>
      </c>
      <c r="AG1" s="5" t="str">
        <f>IFERROR(__xludf.DUMMYFUNCTION("""COMPUTED_VALUE"""),"Hvor godt fornøyd er du med det utførte arbeidet til konsulenten fra JProfessionals AS")</f>
        <v>Hvor godt fornøyd er du med det utførte arbeidet til konsulenten fra JProfessionals AS</v>
      </c>
      <c r="AH1" s="5" t="str">
        <f>IFERROR(__xludf.DUMMYFUNCTION("""COMPUTED_VALUE"""),"Hvor godt fornøyd er du med det utførte arbeidet til konsulenten fra JProfessionals AS | Kommentar")</f>
        <v>Hvor godt fornøyd er du med det utførte arbeidet til konsulenten fra JProfessionals AS | Kommentar</v>
      </c>
      <c r="AI1" s="5" t="str">
        <f>IFERROR(__xludf.DUMMYFUNCTION("""COMPUTED_VALUE"""),"Har konsulenten fra JProfessionals AS den nødvendige kompetansen for arbeidet dere trenger utført?")</f>
        <v>Har konsulenten fra JProfessionals AS den nødvendige kompetansen for arbeidet dere trenger utført?</v>
      </c>
      <c r="AJ1" s="5" t="str">
        <f>IFERROR(__xludf.DUMMYFUNCTION("""COMPUTED_VALUE"""),"Har konsulenten fra JProfessionals AS den nødvendige kompetansen for arbeidet dere trenger utført? | Kommentar / Er det kompetanse du savner?")</f>
        <v>Har konsulenten fra JProfessionals AS den nødvendige kompetansen for arbeidet dere trenger utført? | Kommentar / Er det kompetanse du savner?</v>
      </c>
      <c r="AK1" s="5" t="str">
        <f>IFERROR(__xludf.DUMMYFUNCTION("""COMPUTED_VALUE"""),"Hvor godt fornøyd er du med konsulenten fra JProfessionals AS sitt bidrag til kompetansedeling innad i ditt team/din organisasjon?")</f>
        <v>Hvor godt fornøyd er du med konsulenten fra JProfessionals AS sitt bidrag til kompetansedeling innad i ditt team/din organisasjon?</v>
      </c>
      <c r="AL1" s="5" t="str">
        <f>IFERROR(__xludf.DUMMYFUNCTION("""COMPUTED_VALUE"""),"Hvor godt fornøyd er du med konsulenten fra JProfessionals AS sitt bidrag til kompetansedeling innad i ditt team/din organisasjon? | Kommentar")</f>
        <v>Hvor godt fornøyd er du med konsulenten fra JProfessionals AS sitt bidrag til kompetansedeling innad i ditt team/din organisasjon? | Kommentar</v>
      </c>
      <c r="AM1" s="5" t="str">
        <f>IFERROR(__xludf.DUMMYFUNCTION("""COMPUTED_VALUE"""),"Hvor godt fornøyd er du med det generelle samarbeidet og kommunikasjonen med konsulenten fra JProfessionals AS?")</f>
        <v>Hvor godt fornøyd er du med det generelle samarbeidet og kommunikasjonen med konsulenten fra JProfessionals AS?</v>
      </c>
      <c r="AN1" s="5" t="str">
        <f>IFERROR(__xludf.DUMMYFUNCTION("""COMPUTED_VALUE"""),"Hvor godt fornøyd er du med det generelle samarbeidet og kommunikasjonen med konsulenten fra JProfessionals AS? | Kommentar")</f>
        <v>Hvor godt fornøyd er du med det generelle samarbeidet og kommunikasjonen med konsulenten fra JProfessionals AS? | Kommentar</v>
      </c>
      <c r="AO1" s="5" t="str">
        <f>IFERROR(__xludf.DUMMYFUNCTION("""COMPUTED_VALUE"""),"Hvor godt fornøyd er du med oppfølgingen fra, og samarbeidet med, JProfessionals AS? (valgfritt) - Om JProfessionals ikke er leverandøren du forholder deg til kan du se bort fra dette spørsmålet.")</f>
        <v>Hvor godt fornøyd er du med oppfølgingen fra, og samarbeidet med, JProfessionals AS? (valgfritt) - Om JProfessionals ikke er leverandøren du forholder deg til kan du se bort fra dette spørsmålet.</v>
      </c>
      <c r="AP1" s="5" t="str">
        <f>IFERROR(__xludf.DUMMYFUNCTION("""COMPUTED_VALUE"""),"Hvor godt fornøyd er du med oppfølgingen fra, og samarbeidet med, JProfessionals AS? (valgfritt) - Om JProfessionals ikke er leverandøren du forholder deg til kan du se bort fra dette spørsmålet. | Kommentar")</f>
        <v>Hvor godt fornøyd er du med oppfølgingen fra, og samarbeidet med, JProfessionals AS? (valgfritt) - Om JProfessionals ikke er leverandøren du forholder deg til kan du se bort fra dette spørsmålet. | Kommentar</v>
      </c>
      <c r="AQ1" s="5" t="str">
        <f>IFERROR(__xludf.DUMMYFUNCTION("""COMPUTED_VALUE"""),"I hvor stor grad synes du at kostnaden for konsulenten fra JProfessionals AS er verdt nytten de tilfører din organisasjon?")</f>
        <v>I hvor stor grad synes du at kostnaden for konsulenten fra JProfessionals AS er verdt nytten de tilfører din organisasjon?</v>
      </c>
      <c r="AR1" s="5" t="str">
        <f>IFERROR(__xludf.DUMMYFUNCTION("""COMPUTED_VALUE"""),"I hvor stor grad synes du at kostnaden for konsulenten fra JProfessionals AS er verdt nytten de tilfører din organisasjon? | Kommentar")</f>
        <v>I hvor stor grad synes du at kostnaden for konsulenten fra JProfessionals AS er verdt nytten de tilfører din organisasjon? | Kommentar</v>
      </c>
      <c r="AS1" s="5" t="str">
        <f>IFERROR(__xludf.DUMMYFUNCTION("""COMPUTED_VALUE"""),"Er det ytterligere områder eller tjenester du ser behov for bistand til?")</f>
        <v>Er det ytterligere områder eller tjenester du ser behov for bistand til?</v>
      </c>
      <c r="AT1" s="2" t="s">
        <v>279</v>
      </c>
      <c r="AU1" s="2" t="s">
        <v>280</v>
      </c>
      <c r="AV1" s="2" t="s">
        <v>201</v>
      </c>
      <c r="AW1" s="2" t="s">
        <v>281</v>
      </c>
      <c r="AX1" s="10" t="str">
        <f t="shared" ref="AX1:BJ1" si="1">AG1</f>
        <v>Hvor godt fornøyd er du med det utførte arbeidet til konsulenten fra JProfessionals AS</v>
      </c>
      <c r="AY1" s="10" t="str">
        <f t="shared" si="1"/>
        <v>Hvor godt fornøyd er du med det utførte arbeidet til konsulenten fra JProfessionals AS | Kommentar</v>
      </c>
      <c r="AZ1" s="10" t="str">
        <f t="shared" si="1"/>
        <v>Har konsulenten fra JProfessionals AS den nødvendige kompetansen for arbeidet dere trenger utført?</v>
      </c>
      <c r="BA1" s="10" t="str">
        <f t="shared" si="1"/>
        <v>Har konsulenten fra JProfessionals AS den nødvendige kompetansen for arbeidet dere trenger utført? | Kommentar / Er det kompetanse du savner?</v>
      </c>
      <c r="BB1" s="10" t="str">
        <f t="shared" si="1"/>
        <v>Hvor godt fornøyd er du med konsulenten fra JProfessionals AS sitt bidrag til kompetansedeling innad i ditt team/din organisasjon?</v>
      </c>
      <c r="BC1" s="10" t="str">
        <f t="shared" si="1"/>
        <v>Hvor godt fornøyd er du med konsulenten fra JProfessionals AS sitt bidrag til kompetansedeling innad i ditt team/din organisasjon? | Kommentar</v>
      </c>
      <c r="BD1" s="10" t="str">
        <f t="shared" si="1"/>
        <v>Hvor godt fornøyd er du med det generelle samarbeidet og kommunikasjonen med konsulenten fra JProfessionals AS?</v>
      </c>
      <c r="BE1" s="10" t="str">
        <f t="shared" si="1"/>
        <v>Hvor godt fornøyd er du med det generelle samarbeidet og kommunikasjonen med konsulenten fra JProfessionals AS? | Kommentar</v>
      </c>
      <c r="BF1" s="10" t="str">
        <f t="shared" si="1"/>
        <v>Hvor godt fornøyd er du med oppfølgingen fra, og samarbeidet med, JProfessionals AS? (valgfritt) - Om JProfessionals ikke er leverandøren du forholder deg til kan du se bort fra dette spørsmålet.</v>
      </c>
      <c r="BG1" s="10" t="str">
        <f t="shared" si="1"/>
        <v>Hvor godt fornøyd er du med oppfølgingen fra, og samarbeidet med, JProfessionals AS? (valgfritt) - Om JProfessionals ikke er leverandøren du forholder deg til kan du se bort fra dette spørsmålet. | Kommentar</v>
      </c>
      <c r="BH1" s="10" t="str">
        <f t="shared" si="1"/>
        <v>I hvor stor grad synes du at kostnaden for konsulenten fra JProfessionals AS er verdt nytten de tilfører din organisasjon?</v>
      </c>
      <c r="BI1" s="10" t="str">
        <f t="shared" si="1"/>
        <v>I hvor stor grad synes du at kostnaden for konsulenten fra JProfessionals AS er verdt nytten de tilfører din organisasjon? | Kommentar</v>
      </c>
      <c r="BJ1" s="10" t="str">
        <f t="shared" si="1"/>
        <v>Er det ytterligere områder eller tjenester du ser behov for bistand til?</v>
      </c>
    </row>
    <row r="2">
      <c r="A2" s="5">
        <f>IFERROR(__xludf.DUMMYFUNCTION("""COMPUTED_VALUE"""),1.14735374663E11)</f>
        <v>114735374663</v>
      </c>
      <c r="B2" s="11">
        <f>IFERROR(__xludf.DUMMYFUNCTION("""COMPUTED_VALUE"""),45609.534421296295)</f>
        <v>45609.53442</v>
      </c>
      <c r="C2" s="11">
        <f>IFERROR(__xludf.DUMMYFUNCTION("""COMPUTED_VALUE"""),45609.53721064815)</f>
        <v>45609.53721</v>
      </c>
      <c r="D2" s="5" t="str">
        <f>IFERROR(__xludf.DUMMYFUNCTION("""COMPUTED_VALUE"""),"62.92.224.122")</f>
        <v>62.92.224.122</v>
      </c>
      <c r="E2" s="5">
        <f>IFERROR(__xludf.DUMMYFUNCTION("""COMPUTED_VALUE"""),240.0)</f>
        <v>240</v>
      </c>
      <c r="F2" s="5" t="str">
        <f>IFERROR(__xludf.DUMMYFUNCTION("""COMPUTED_VALUE"""),"completed")</f>
        <v>completed</v>
      </c>
      <c r="G2" s="5" t="str">
        <f>IFERROR(__xludf.DUMMYFUNCTION("""COMPUTED_VALUE"""),"Not Answered")</f>
        <v>Not Answered</v>
      </c>
      <c r="H2" s="5" t="str">
        <f>IFERROR(__xludf.DUMMYFUNCTION("""COMPUTED_VALUE"""),"Not Answered")</f>
        <v>Not Answered</v>
      </c>
      <c r="I2" s="5" t="str">
        <f>IFERROR(__xludf.DUMMYFUNCTION("""COMPUTED_VALUE"""),"Not Answered")</f>
        <v>Not Answered</v>
      </c>
      <c r="J2" s="5">
        <f>IFERROR(__xludf.DUMMYFUNCTION("""COMPUTED_VALUE"""),4.33598082E8)</f>
        <v>433598082</v>
      </c>
      <c r="K2" s="5" t="str">
        <f>IFERROR(__xludf.DUMMYFUNCTION("""COMPUTED_VALUE"""),"weblink")</f>
        <v>weblink</v>
      </c>
      <c r="L2" s="5" t="str">
        <f>IFERROR(__xludf.DUMMYFUNCTION("""COMPUTED_VALUE"""),"Not Answered")</f>
        <v>Not Answered</v>
      </c>
      <c r="M2" s="5" t="str">
        <f>IFERROR(__xludf.DUMMYFUNCTION("""COMPUTED_VALUE"""),"Husbanken")</f>
        <v>Husbanken</v>
      </c>
      <c r="N2" s="5" t="str">
        <f>IFERROR(__xludf.DUMMYFUNCTION("""COMPUTED_VALUE"""),"Not Answered")</f>
        <v>Not Answered</v>
      </c>
      <c r="O2" s="5" t="str">
        <f>IFERROR(__xludf.DUMMYFUNCTION("""COMPUTED_VALUE"""),"Not Answered")</f>
        <v>Not Answered</v>
      </c>
      <c r="P2" s="5" t="str">
        <f>IFERROR(__xludf.DUMMYFUNCTION("""COMPUTED_VALUE"""),"Not Answered")</f>
        <v>Not Answered</v>
      </c>
      <c r="Q2" s="5" t="str">
        <f>IFERROR(__xludf.DUMMYFUNCTION("""COMPUTED_VALUE"""),"Not Answered")</f>
        <v>Not Answered</v>
      </c>
      <c r="R2" s="5" t="str">
        <f>IFERROR(__xludf.DUMMYFUNCTION("""COMPUTED_VALUE"""),"Not Answered")</f>
        <v>Not Answered</v>
      </c>
      <c r="S2" s="5" t="str">
        <f>IFERROR(__xludf.DUMMYFUNCTION("""COMPUTED_VALUE"""),"Not Answered")</f>
        <v>Not Answered</v>
      </c>
      <c r="T2" s="5" t="str">
        <f>IFERROR(__xludf.DUMMYFUNCTION("""COMPUTED_VALUE"""),"Not Answered")</f>
        <v>Not Answered</v>
      </c>
      <c r="U2" s="5" t="str">
        <f>IFERROR(__xludf.DUMMYFUNCTION("""COMPUTED_VALUE"""),"Not Answered")</f>
        <v>Not Answered</v>
      </c>
      <c r="V2" s="5" t="str">
        <f>IFERROR(__xludf.DUMMYFUNCTION("""COMPUTED_VALUE"""),"Not Answered")</f>
        <v>Not Answered</v>
      </c>
      <c r="W2" s="5" t="str">
        <f>IFERROR(__xludf.DUMMYFUNCTION("""COMPUTED_VALUE"""),"Terje Wallem")</f>
        <v>Terje Wallem</v>
      </c>
      <c r="X2" s="5" t="str">
        <f>IFERROR(__xludf.DUMMYFUNCTION("""COMPUTED_VALUE"""),"Not Answered")</f>
        <v>Not Answered</v>
      </c>
      <c r="Y2" s="5" t="str">
        <f>IFERROR(__xludf.DUMMYFUNCTION("""COMPUTED_VALUE"""),"Not Answered")</f>
        <v>Not Answered</v>
      </c>
      <c r="Z2" s="5" t="str">
        <f>IFERROR(__xludf.DUMMYFUNCTION("""COMPUTED_VALUE"""),"Not Answered")</f>
        <v>Not Answered</v>
      </c>
      <c r="AA2" s="5" t="str">
        <f>IFERROR(__xludf.DUMMYFUNCTION("""COMPUTED_VALUE"""),"Not Answered")</f>
        <v>Not Answered</v>
      </c>
      <c r="AB2" s="5" t="str">
        <f>IFERROR(__xludf.DUMMYFUNCTION("""COMPUTED_VALUE"""),"Not Answered")</f>
        <v>Not Answered</v>
      </c>
      <c r="AC2" s="5" t="str">
        <f>IFERROR(__xludf.DUMMYFUNCTION("""COMPUTED_VALUE"""),"Not Answered")</f>
        <v>Not Answered</v>
      </c>
      <c r="AD2" s="5" t="str">
        <f>IFERROR(__xludf.DUMMYFUNCTION("""COMPUTED_VALUE"""),"Not Answered")</f>
        <v>Not Answered</v>
      </c>
      <c r="AE2" s="5" t="str">
        <f>IFERROR(__xludf.DUMMYFUNCTION("""COMPUTED_VALUE"""),"Not Answered")</f>
        <v>Not Answered</v>
      </c>
      <c r="AF2" s="5" t="str">
        <f>IFERROR(__xludf.DUMMYFUNCTION("""COMPUTED_VALUE"""),"Not Answered")</f>
        <v>Not Answered</v>
      </c>
      <c r="AG2" s="5" t="str">
        <f>IFERROR(__xludf.DUMMYFUNCTION("""COMPUTED_VALUE"""),"Svært fornøyd")</f>
        <v>Svært fornøyd</v>
      </c>
      <c r="AH2" s="5" t="str">
        <f>IFERROR(__xludf.DUMMYFUNCTION("""COMPUTED_VALUE"""),"Not Answered")</f>
        <v>Not Answered</v>
      </c>
      <c r="AI2" s="5" t="str">
        <f>IFERROR(__xludf.DUMMYFUNCTION("""COMPUTED_VALUE"""),"I stor grad")</f>
        <v>I stor grad</v>
      </c>
      <c r="AJ2" s="5" t="str">
        <f>IFERROR(__xludf.DUMMYFUNCTION("""COMPUTED_VALUE"""),"Not Answered")</f>
        <v>Not Answered</v>
      </c>
      <c r="AK2" s="5" t="str">
        <f>IFERROR(__xludf.DUMMYFUNCTION("""COMPUTED_VALUE"""),"Svært fornøyd")</f>
        <v>Svært fornøyd</v>
      </c>
      <c r="AL2" s="5" t="str">
        <f>IFERROR(__xludf.DUMMYFUNCTION("""COMPUTED_VALUE"""),"Not Answered")</f>
        <v>Not Answered</v>
      </c>
      <c r="AM2" s="5" t="str">
        <f>IFERROR(__xludf.DUMMYFUNCTION("""COMPUTED_VALUE"""),"Svært fornøyd")</f>
        <v>Svært fornøyd</v>
      </c>
      <c r="AN2" s="5" t="str">
        <f>IFERROR(__xludf.DUMMYFUNCTION("""COMPUTED_VALUE"""),"Not Answered")</f>
        <v>Not Answered</v>
      </c>
      <c r="AO2" s="5" t="str">
        <f>IFERROR(__xludf.DUMMYFUNCTION("""COMPUTED_VALUE"""),"Svært fornøyd")</f>
        <v>Svært fornøyd</v>
      </c>
      <c r="AP2" s="5" t="str">
        <f>IFERROR(__xludf.DUMMYFUNCTION("""COMPUTED_VALUE"""),"(Overhuset) Ikke vært så mye dialog, men mangler ikke noe :-)")</f>
        <v>(Overhuset) Ikke vært så mye dialog, men mangler ikke noe :-)</v>
      </c>
      <c r="AQ2" s="5" t="str">
        <f>IFERROR(__xludf.DUMMYFUNCTION("""COMPUTED_VALUE"""),"5 - star")</f>
        <v>5 - star</v>
      </c>
      <c r="AR2" s="5" t="str">
        <f>IFERROR(__xludf.DUMMYFUNCTION("""COMPUTED_VALUE"""),"Not Answered")</f>
        <v>Not Answered</v>
      </c>
      <c r="AS2" s="5" t="str">
        <f>IFERROR(__xludf.DUMMYFUNCTION("""COMPUTED_VALUE"""),"Not Answered")</f>
        <v>Not Answered</v>
      </c>
      <c r="AT2" s="11">
        <f t="shared" ref="AT2:AT99" si="3">if(ISNUMBER(A2),B2,)</f>
        <v>45609.53442</v>
      </c>
      <c r="AU2" s="5" t="str">
        <f t="shared" ref="AU2:AU99" si="4">if(ISNUMBER(A2),M2,)</f>
        <v>Husbanken</v>
      </c>
      <c r="AV2" s="5" t="str">
        <f>IFERROR(__xludf.DUMMYFUNCTION("if(ISNUMBER(A2),FILTER(N2:AF2,REGEXMATCH(N2:AF2, ""Not Answered"")=FALSE),)"),"Terje Wallem")</f>
        <v>Terje Wallem</v>
      </c>
      <c r="AW2" s="5" t="str">
        <f>if(ISNUMBER($C2), VLOOKUP(AV2, konsulenter!$A$1:$B99,2,false),)</f>
        <v>#N/A</v>
      </c>
      <c r="AX2" s="10">
        <f>if(ISNUMBER($C2), VLOOKUP(AG2, mapping!$A$2:$B99,2,false),)</f>
        <v>6</v>
      </c>
      <c r="AY2" s="10" t="str">
        <f t="shared" ref="AY2:AY99" si="5">if(ISNUMBER($C2), IF(AH2="Not Answered","-",AH2),)</f>
        <v>-</v>
      </c>
      <c r="AZ2" s="10">
        <f>if(ISNUMBER($C2), VLOOKUP(AI2, mapping!$A$2:$B99,2,false),)</f>
        <v>6</v>
      </c>
      <c r="BA2" s="10" t="str">
        <f t="shared" ref="BA2:BA99" si="6">if(ISNUMBER($C2), IF(AJ2="Not Answered","-",AJ2),)</f>
        <v>-</v>
      </c>
      <c r="BB2" s="10">
        <f>if(ISNUMBER($C2), VLOOKUP(AK2, mapping!$A$2:$B99,2,false),)</f>
        <v>6</v>
      </c>
      <c r="BC2" s="10" t="str">
        <f t="shared" ref="BC2:BC99" si="7">if(ISNUMBER($C2), IF(AL2="Not Answered","-",AL2),)</f>
        <v>-</v>
      </c>
      <c r="BD2" s="10">
        <f>if(ISNUMBER($C2), VLOOKUP(AM2, mapping!$A$2:$B99,2,false),)</f>
        <v>6</v>
      </c>
      <c r="BE2" s="10" t="str">
        <f t="shared" ref="BE2:BE99" si="8">if(ISNUMBER($C2), IF(AN2="Not Answered","-",AN2),)</f>
        <v>-</v>
      </c>
      <c r="BF2" s="10">
        <f>if(ISNUMBER($C2), VLOOKUP(AO2, mapping!$A$2:$B99,2,false),)</f>
        <v>6</v>
      </c>
      <c r="BG2" s="10" t="str">
        <f t="shared" ref="BG2:BG99" si="9">if(ISNUMBER($C2), IF(AP2="Not Answered","-",AP2),)</f>
        <v>(Overhuset) Ikke vært så mye dialog, men mangler ikke noe :-)</v>
      </c>
      <c r="BH2" s="10">
        <f>if(ISNUMBER($C2), VLOOKUP(AQ2, mapping!$A$2:$B99,2,false),)</f>
        <v>5</v>
      </c>
      <c r="BI2" s="10" t="str">
        <f t="shared" ref="BI2:BJ2" si="2">if(ISNUMBER($C2), IF(AR2="Not Answered","-",AR2),)</f>
        <v>-</v>
      </c>
      <c r="BJ2" s="10" t="str">
        <f t="shared" si="2"/>
        <v>-</v>
      </c>
    </row>
    <row r="3">
      <c r="A3" s="5">
        <f>IFERROR(__xludf.DUMMYFUNCTION("""COMPUTED_VALUE"""),1.14714414449E11)</f>
        <v>114714414449</v>
      </c>
      <c r="B3" s="11">
        <f>IFERROR(__xludf.DUMMYFUNCTION("""COMPUTED_VALUE"""),45582.54043981481)</f>
        <v>45582.54044</v>
      </c>
      <c r="C3" s="11">
        <f>IFERROR(__xludf.DUMMYFUNCTION("""COMPUTED_VALUE"""),45582.541354166664)</f>
        <v>45582.54135</v>
      </c>
      <c r="D3" s="5" t="str">
        <f>IFERROR(__xludf.DUMMYFUNCTION("""COMPUTED_VALUE"""),"81.175.27.28")</f>
        <v>81.175.27.28</v>
      </c>
      <c r="E3" s="5">
        <f>IFERROR(__xludf.DUMMYFUNCTION("""COMPUTED_VALUE"""),79.0)</f>
        <v>79</v>
      </c>
      <c r="F3" s="5" t="str">
        <f>IFERROR(__xludf.DUMMYFUNCTION("""COMPUTED_VALUE"""),"completed")</f>
        <v>completed</v>
      </c>
      <c r="G3" s="5" t="str">
        <f>IFERROR(__xludf.DUMMYFUNCTION("""COMPUTED_VALUE"""),"Not Answered")</f>
        <v>Not Answered</v>
      </c>
      <c r="H3" s="5" t="str">
        <f>IFERROR(__xludf.DUMMYFUNCTION("""COMPUTED_VALUE"""),"Not Answered")</f>
        <v>Not Answered</v>
      </c>
      <c r="I3" s="5" t="str">
        <f>IFERROR(__xludf.DUMMYFUNCTION("""COMPUTED_VALUE"""),"Not Answered")</f>
        <v>Not Answered</v>
      </c>
      <c r="J3" s="5">
        <f>IFERROR(__xludf.DUMMYFUNCTION("""COMPUTED_VALUE"""),4.33188881E8)</f>
        <v>433188881</v>
      </c>
      <c r="K3" s="5" t="str">
        <f>IFERROR(__xludf.DUMMYFUNCTION("""COMPUTED_VALUE"""),"weblink")</f>
        <v>weblink</v>
      </c>
      <c r="L3" s="5" t="str">
        <f>IFERROR(__xludf.DUMMYFUNCTION("""COMPUTED_VALUE"""),"Not Answered")</f>
        <v>Not Answered</v>
      </c>
      <c r="M3" s="5" t="str">
        <f>IFERROR(__xludf.DUMMYFUNCTION("""COMPUTED_VALUE"""),"SPK")</f>
        <v>SPK</v>
      </c>
      <c r="N3" s="5" t="str">
        <f>IFERROR(__xludf.DUMMYFUNCTION("""COMPUTED_VALUE"""),"Not Answered")</f>
        <v>Not Answered</v>
      </c>
      <c r="O3" s="5" t="str">
        <f>IFERROR(__xludf.DUMMYFUNCTION("""COMPUTED_VALUE"""),"Not Answered")</f>
        <v>Not Answered</v>
      </c>
      <c r="P3" s="5" t="str">
        <f>IFERROR(__xludf.DUMMYFUNCTION("""COMPUTED_VALUE"""),"Not Answered")</f>
        <v>Not Answered</v>
      </c>
      <c r="Q3" s="5" t="str">
        <f>IFERROR(__xludf.DUMMYFUNCTION("""COMPUTED_VALUE"""),"Not Answered")</f>
        <v>Not Answered</v>
      </c>
      <c r="R3" s="5" t="str">
        <f>IFERROR(__xludf.DUMMYFUNCTION("""COMPUTED_VALUE"""),"Not Answered")</f>
        <v>Not Answered</v>
      </c>
      <c r="S3" s="5" t="str">
        <f>IFERROR(__xludf.DUMMYFUNCTION("""COMPUTED_VALUE"""),"Not Answered")</f>
        <v>Not Answered</v>
      </c>
      <c r="T3" s="5" t="str">
        <f>IFERROR(__xludf.DUMMYFUNCTION("""COMPUTED_VALUE"""),"Not Answered")</f>
        <v>Not Answered</v>
      </c>
      <c r="U3" s="5" t="str">
        <f>IFERROR(__xludf.DUMMYFUNCTION("""COMPUTED_VALUE"""),"Not Answered")</f>
        <v>Not Answered</v>
      </c>
      <c r="V3" s="5" t="str">
        <f>IFERROR(__xludf.DUMMYFUNCTION("""COMPUTED_VALUE"""),"Not Answered")</f>
        <v>Not Answered</v>
      </c>
      <c r="W3" s="5" t="str">
        <f>IFERROR(__xludf.DUMMYFUNCTION("""COMPUTED_VALUE"""),"Not Answered")</f>
        <v>Not Answered</v>
      </c>
      <c r="X3" s="5" t="str">
        <f>IFERROR(__xludf.DUMMYFUNCTION("""COMPUTED_VALUE"""),"Not Answered")</f>
        <v>Not Answered</v>
      </c>
      <c r="Y3" s="5" t="str">
        <f>IFERROR(__xludf.DUMMYFUNCTION("""COMPUTED_VALUE"""),"Not Answered")</f>
        <v>Not Answered</v>
      </c>
      <c r="Z3" s="5" t="str">
        <f>IFERROR(__xludf.DUMMYFUNCTION("""COMPUTED_VALUE"""),"Not Answered")</f>
        <v>Not Answered</v>
      </c>
      <c r="AA3" s="5" t="str">
        <f>IFERROR(__xludf.DUMMYFUNCTION("""COMPUTED_VALUE"""),"Not Answered")</f>
        <v>Not Answered</v>
      </c>
      <c r="AB3" s="5" t="str">
        <f>IFERROR(__xludf.DUMMYFUNCTION("""COMPUTED_VALUE"""),"Not Answered")</f>
        <v>Not Answered</v>
      </c>
      <c r="AC3" s="5" t="str">
        <f>IFERROR(__xludf.DUMMYFUNCTION("""COMPUTED_VALUE"""),"Not Answered")</f>
        <v>Not Answered</v>
      </c>
      <c r="AD3" s="5" t="str">
        <f>IFERROR(__xludf.DUMMYFUNCTION("""COMPUTED_VALUE"""),"Not Answered")</f>
        <v>Not Answered</v>
      </c>
      <c r="AE3" s="5" t="str">
        <f>IFERROR(__xludf.DUMMYFUNCTION("""COMPUTED_VALUE"""),"Not Answered")</f>
        <v>Not Answered</v>
      </c>
      <c r="AF3" s="5" t="str">
        <f>IFERROR(__xludf.DUMMYFUNCTION("""COMPUTED_VALUE"""),"Ingebrigt Berg")</f>
        <v>Ingebrigt Berg</v>
      </c>
      <c r="AG3" s="5" t="str">
        <f>IFERROR(__xludf.DUMMYFUNCTION("""COMPUTED_VALUE"""),"Svært fornøyd")</f>
        <v>Svært fornøyd</v>
      </c>
      <c r="AH3" s="5" t="str">
        <f>IFERROR(__xludf.DUMMYFUNCTION("""COMPUTED_VALUE"""),"Kunnskapsrik, omgjengelig, tar initiativ. ")</f>
        <v>Kunnskapsrik, omgjengelig, tar initiativ. </v>
      </c>
      <c r="AI3" s="5" t="str">
        <f>IFERROR(__xludf.DUMMYFUNCTION("""COMPUTED_VALUE"""),"I stor grad")</f>
        <v>I stor grad</v>
      </c>
      <c r="AJ3" s="5" t="str">
        <f>IFERROR(__xludf.DUMMYFUNCTION("""COMPUTED_VALUE"""),"Not Answered")</f>
        <v>Not Answered</v>
      </c>
      <c r="AK3" s="5" t="str">
        <f>IFERROR(__xludf.DUMMYFUNCTION("""COMPUTED_VALUE"""),"Svært fornøyd")</f>
        <v>Svært fornøyd</v>
      </c>
      <c r="AL3" s="5" t="str">
        <f>IFERROR(__xludf.DUMMYFUNCTION("""COMPUTED_VALUE"""),"Not Answered")</f>
        <v>Not Answered</v>
      </c>
      <c r="AM3" s="5" t="str">
        <f>IFERROR(__xludf.DUMMYFUNCTION("""COMPUTED_VALUE"""),"Svært fornøyd")</f>
        <v>Svært fornøyd</v>
      </c>
      <c r="AN3" s="5" t="str">
        <f>IFERROR(__xludf.DUMMYFUNCTION("""COMPUTED_VALUE"""),"Not Answered")</f>
        <v>Not Answered</v>
      </c>
      <c r="AO3" s="5" t="str">
        <f>IFERROR(__xludf.DUMMYFUNCTION("""COMPUTED_VALUE"""),"Not Answered")</f>
        <v>Not Answered</v>
      </c>
      <c r="AP3" s="5" t="str">
        <f>IFERROR(__xludf.DUMMYFUNCTION("""COMPUTED_VALUE"""),"Not Answered")</f>
        <v>Not Answered</v>
      </c>
      <c r="AQ3" s="5" t="str">
        <f>IFERROR(__xludf.DUMMYFUNCTION("""COMPUTED_VALUE"""),"I stor grad")</f>
        <v>I stor grad</v>
      </c>
      <c r="AR3" s="5" t="str">
        <f>IFERROR(__xludf.DUMMYFUNCTION("""COMPUTED_VALUE"""),"Not Answered")</f>
        <v>Not Answered</v>
      </c>
      <c r="AS3" s="5" t="str">
        <f>IFERROR(__xludf.DUMMYFUNCTION("""COMPUTED_VALUE"""),"Not Answered")</f>
        <v>Not Answered</v>
      </c>
      <c r="AT3" s="11">
        <f t="shared" si="3"/>
        <v>45582.54044</v>
      </c>
      <c r="AU3" s="5" t="str">
        <f t="shared" si="4"/>
        <v>SPK</v>
      </c>
      <c r="AV3" s="5" t="str">
        <f>IFERROR(__xludf.DUMMYFUNCTION("if(ISNUMBER(A3),FILTER(N3:AF3,REGEXMATCH(N3:AF3, ""Not Answered"")=FALSE),)"),"Ingebrigt Berg")</f>
        <v>Ingebrigt Berg</v>
      </c>
      <c r="AW3" s="5" t="str">
        <f>if(ISNUMBER($C3), VLOOKUP(AV3, konsulenter!$A$1:$B99,2,false),)</f>
        <v>#N/A</v>
      </c>
      <c r="AX3" s="10">
        <f>if(ISNUMBER($C3), VLOOKUP(AG3, mapping!$A$2:$B99,2,false),)</f>
        <v>6</v>
      </c>
      <c r="AY3" s="10" t="str">
        <f t="shared" si="5"/>
        <v>Kunnskapsrik, omgjengelig, tar initiativ. </v>
      </c>
      <c r="AZ3" s="10">
        <f>if(ISNUMBER($C3), VLOOKUP(AI3, mapping!$A$2:$B99,2,false),)</f>
        <v>6</v>
      </c>
      <c r="BA3" s="10" t="str">
        <f t="shared" si="6"/>
        <v>-</v>
      </c>
      <c r="BB3" s="10">
        <f>if(ISNUMBER($C3), VLOOKUP(AK3, mapping!$A$2:$B99,2,false),)</f>
        <v>6</v>
      </c>
      <c r="BC3" s="10" t="str">
        <f t="shared" si="7"/>
        <v>-</v>
      </c>
      <c r="BD3" s="10">
        <f>if(ISNUMBER($C3), VLOOKUP(AM3, mapping!$A$2:$B99,2,false),)</f>
        <v>6</v>
      </c>
      <c r="BE3" s="10" t="str">
        <f t="shared" si="8"/>
        <v>-</v>
      </c>
      <c r="BF3" s="10" t="str">
        <f>if(ISNUMBER($C3), VLOOKUP(AO3, mapping!$A$2:$B99,2,false),)</f>
        <v/>
      </c>
      <c r="BG3" s="10" t="str">
        <f t="shared" si="9"/>
        <v>-</v>
      </c>
      <c r="BH3" s="10">
        <f>if(ISNUMBER($C3), VLOOKUP(AQ3, mapping!$A$2:$B99,2,false),)</f>
        <v>6</v>
      </c>
      <c r="BI3" s="10" t="str">
        <f t="shared" ref="BI3:BJ3" si="10">if(ISNUMBER($C3), IF(AR3="Not Answered","-",AR3),)</f>
        <v>-</v>
      </c>
      <c r="BJ3" s="10" t="str">
        <f t="shared" si="10"/>
        <v>-</v>
      </c>
    </row>
    <row r="4">
      <c r="A4" s="5">
        <f>IFERROR(__xludf.DUMMYFUNCTION("""COMPUTED_VALUE"""),1.14714413253E11)</f>
        <v>114714413253</v>
      </c>
      <c r="B4" s="11">
        <f>IFERROR(__xludf.DUMMYFUNCTION("""COMPUTED_VALUE"""),45582.515694444446)</f>
        <v>45582.51569</v>
      </c>
      <c r="C4" s="11">
        <f>IFERROR(__xludf.DUMMYFUNCTION("""COMPUTED_VALUE"""),45582.563159722224)</f>
        <v>45582.56316</v>
      </c>
      <c r="D4" s="5" t="str">
        <f>IFERROR(__xludf.DUMMYFUNCTION("""COMPUTED_VALUE"""),"46.212.44.252")</f>
        <v>46.212.44.252</v>
      </c>
      <c r="E4" s="5">
        <f>IFERROR(__xludf.DUMMYFUNCTION("""COMPUTED_VALUE"""),4100.0)</f>
        <v>4100</v>
      </c>
      <c r="F4" s="5" t="str">
        <f>IFERROR(__xludf.DUMMYFUNCTION("""COMPUTED_VALUE"""),"completed")</f>
        <v>completed</v>
      </c>
      <c r="G4" s="5" t="str">
        <f>IFERROR(__xludf.DUMMYFUNCTION("""COMPUTED_VALUE"""),"Not Answered")</f>
        <v>Not Answered</v>
      </c>
      <c r="H4" s="5" t="str">
        <f>IFERROR(__xludf.DUMMYFUNCTION("""COMPUTED_VALUE"""),"Not Answered")</f>
        <v>Not Answered</v>
      </c>
      <c r="I4" s="5" t="str">
        <f>IFERROR(__xludf.DUMMYFUNCTION("""COMPUTED_VALUE"""),"Not Answered")</f>
        <v>Not Answered</v>
      </c>
      <c r="J4" s="5">
        <f>IFERROR(__xludf.DUMMYFUNCTION("""COMPUTED_VALUE"""),4.33188881E8)</f>
        <v>433188881</v>
      </c>
      <c r="K4" s="5" t="str">
        <f>IFERROR(__xludf.DUMMYFUNCTION("""COMPUTED_VALUE"""),"weblink")</f>
        <v>weblink</v>
      </c>
      <c r="L4" s="5" t="str">
        <f>IFERROR(__xludf.DUMMYFUNCTION("""COMPUTED_VALUE"""),"Not Answered")</f>
        <v>Not Answered</v>
      </c>
      <c r="M4" s="5" t="str">
        <f>IFERROR(__xludf.DUMMYFUNCTION("""COMPUTED_VALUE"""),"Entur")</f>
        <v>Entur</v>
      </c>
      <c r="N4" s="5" t="str">
        <f>IFERROR(__xludf.DUMMYFUNCTION("""COMPUTED_VALUE"""),"Not Answered")</f>
        <v>Not Answered</v>
      </c>
      <c r="O4" s="5" t="str">
        <f>IFERROR(__xludf.DUMMYFUNCTION("""COMPUTED_VALUE"""),"Not Answered")</f>
        <v>Not Answered</v>
      </c>
      <c r="P4" s="5" t="str">
        <f>IFERROR(__xludf.DUMMYFUNCTION("""COMPUTED_VALUE"""),"Not Answered")</f>
        <v>Not Answered</v>
      </c>
      <c r="Q4" s="5" t="str">
        <f>IFERROR(__xludf.DUMMYFUNCTION("""COMPUTED_VALUE"""),"Not Answered")</f>
        <v>Not Answered</v>
      </c>
      <c r="R4" s="5" t="str">
        <f>IFERROR(__xludf.DUMMYFUNCTION("""COMPUTED_VALUE"""),"Not Answered")</f>
        <v>Not Answered</v>
      </c>
      <c r="S4" s="5" t="str">
        <f>IFERROR(__xludf.DUMMYFUNCTION("""COMPUTED_VALUE"""),"Not Answered")</f>
        <v>Not Answered</v>
      </c>
      <c r="T4" s="5" t="str">
        <f>IFERROR(__xludf.DUMMYFUNCTION("""COMPUTED_VALUE"""),"Not Answered")</f>
        <v>Not Answered</v>
      </c>
      <c r="U4" s="5" t="str">
        <f>IFERROR(__xludf.DUMMYFUNCTION("""COMPUTED_VALUE"""),"Not Answered")</f>
        <v>Not Answered</v>
      </c>
      <c r="V4" s="5" t="str">
        <f>IFERROR(__xludf.DUMMYFUNCTION("""COMPUTED_VALUE"""),"Not Answered")</f>
        <v>Not Answered</v>
      </c>
      <c r="W4" s="5" t="str">
        <f>IFERROR(__xludf.DUMMYFUNCTION("""COMPUTED_VALUE"""),"Not Answered")</f>
        <v>Not Answered</v>
      </c>
      <c r="X4" s="5" t="str">
        <f>IFERROR(__xludf.DUMMYFUNCTION("""COMPUTED_VALUE"""),"Not Answered")</f>
        <v>Not Answered</v>
      </c>
      <c r="Y4" s="5" t="str">
        <f>IFERROR(__xludf.DUMMYFUNCTION("""COMPUTED_VALUE"""),"Not Answered")</f>
        <v>Not Answered</v>
      </c>
      <c r="Z4" s="5" t="str">
        <f>IFERROR(__xludf.DUMMYFUNCTION("""COMPUTED_VALUE"""),"Not Answered")</f>
        <v>Not Answered</v>
      </c>
      <c r="AA4" s="5" t="str">
        <f>IFERROR(__xludf.DUMMYFUNCTION("""COMPUTED_VALUE"""),"Bent Lorentzen")</f>
        <v>Bent Lorentzen</v>
      </c>
      <c r="AB4" s="5" t="str">
        <f>IFERROR(__xludf.DUMMYFUNCTION("""COMPUTED_VALUE"""),"Not Answered")</f>
        <v>Not Answered</v>
      </c>
      <c r="AC4" s="5" t="str">
        <f>IFERROR(__xludf.DUMMYFUNCTION("""COMPUTED_VALUE"""),"Not Answered")</f>
        <v>Not Answered</v>
      </c>
      <c r="AD4" s="5" t="str">
        <f>IFERROR(__xludf.DUMMYFUNCTION("""COMPUTED_VALUE"""),"Not Answered")</f>
        <v>Not Answered</v>
      </c>
      <c r="AE4" s="5" t="str">
        <f>IFERROR(__xludf.DUMMYFUNCTION("""COMPUTED_VALUE"""),"Not Answered")</f>
        <v>Not Answered</v>
      </c>
      <c r="AF4" s="5" t="str">
        <f>IFERROR(__xludf.DUMMYFUNCTION("""COMPUTED_VALUE"""),"Not Answered")</f>
        <v>Not Answered</v>
      </c>
      <c r="AG4" s="5" t="str">
        <f>IFERROR(__xludf.DUMMYFUNCTION("""COMPUTED_VALUE"""),"Svært fornøyd")</f>
        <v>Svært fornøyd</v>
      </c>
      <c r="AH4" s="5" t="str">
        <f>IFERROR(__xludf.DUMMYFUNCTION("""COMPUTED_VALUE"""),"Bent er en svært kompetent teknolog som leverer arbeid av høy kvalitet. Hans erfaring og kompetanse innenfor feltet har bidratt til gode diskusjoner i teamet, gode løsninger, kunnskapsdeling og har vært med på å dra teamet i en veldig god retning. ")</f>
        <v>Bent er en svært kompetent teknolog som leverer arbeid av høy kvalitet. Hans erfaring og kompetanse innenfor feltet har bidratt til gode diskusjoner i teamet, gode løsninger, kunnskapsdeling og har vært med på å dra teamet i en veldig god retning. </v>
      </c>
      <c r="AI4" s="5" t="str">
        <f>IFERROR(__xludf.DUMMYFUNCTION("""COMPUTED_VALUE"""),"I stor grad")</f>
        <v>I stor grad</v>
      </c>
      <c r="AJ4" s="5" t="str">
        <f>IFERROR(__xludf.DUMMYFUNCTION("""COMPUTED_VALUE"""),"Bent har absolutt den nødvendige kompetansen for det arbeidet Entur trenger utført, og av de få områdene han ikke hadde kunnskap til fra før har han vist stor lærevilje og raskt kommet opp på et høyt kunnskapsnivå for ny teknologi og ikke minst domene.")</f>
        <v>Bent har absolutt den nødvendige kompetansen for det arbeidet Entur trenger utført, og av de få områdene han ikke hadde kunnskap til fra før har han vist stor lærevilje og raskt kommet opp på et høyt kunnskapsnivå for ny teknologi og ikke minst domene.</v>
      </c>
      <c r="AK4" s="5" t="str">
        <f>IFERROR(__xludf.DUMMYFUNCTION("""COMPUTED_VALUE"""),"Svært fornøyd")</f>
        <v>Svært fornøyd</v>
      </c>
      <c r="AL4" s="5" t="str">
        <f>IFERROR(__xludf.DUMMYFUNCTION("""COMPUTED_VALUE"""),"Som nevnt som kommentar i det første spørsmålet bidrar Bent i aller største grad til kompetansedeling innad i teamet. Hans evne til å vise forståelse og tålmodighet for de som skal tilegne seg ny kunnskap gjør han til en god mentor.")</f>
        <v>Som nevnt som kommentar i det første spørsmålet bidrar Bent i aller største grad til kompetansedeling innad i teamet. Hans evne til å vise forståelse og tålmodighet for de som skal tilegne seg ny kunnskap gjør han til en god mentor.</v>
      </c>
      <c r="AM4" s="5" t="str">
        <f>IFERROR(__xludf.DUMMYFUNCTION("""COMPUTED_VALUE"""),"Svært fornøyd")</f>
        <v>Svært fornøyd</v>
      </c>
      <c r="AN4" s="5" t="str">
        <f>IFERROR(__xludf.DUMMYFUNCTION("""COMPUTED_VALUE"""),"Bent er veldig samarbeidsvillig og stiller alltid opp på kort varsel hvis noen trenger hjelp eller ønsker å arbeide sammen med ham. Bent og jeg (produktleder) har ukentlige møter for å planlegge uken jeg synes er veldig verdifullt. Han deltar alltid flitt"&amp;"ig i møter, har tydelige meninger, men er også alltid åpen for andres meninger og er villig til å diskutere emner med teamet før en endelig beslutning tas.")</f>
        <v>Bent er veldig samarbeidsvillig og stiller alltid opp på kort varsel hvis noen trenger hjelp eller ønsker å arbeide sammen med ham. Bent og jeg (produktleder) har ukentlige møter for å planlegge uken jeg synes er veldig verdifullt. Han deltar alltid flittig i møter, har tydelige meninger, men er også alltid åpen for andres meninger og er villig til å diskutere emner med teamet før en endelig beslutning tas.</v>
      </c>
      <c r="AO4" s="5" t="str">
        <f>IFERROR(__xludf.DUMMYFUNCTION("""COMPUTED_VALUE"""),"Not Answered")</f>
        <v>Not Answered</v>
      </c>
      <c r="AP4" s="5" t="str">
        <f>IFERROR(__xludf.DUMMYFUNCTION("""COMPUTED_VALUE"""),"Not Answered")</f>
        <v>Not Answered</v>
      </c>
      <c r="AQ4" s="5" t="str">
        <f>IFERROR(__xludf.DUMMYFUNCTION("""COMPUTED_VALUE"""),"I stor grad")</f>
        <v>I stor grad</v>
      </c>
      <c r="AR4" s="5" t="str">
        <f>IFERROR(__xludf.DUMMYFUNCTION("""COMPUTED_VALUE"""),"Not Answered")</f>
        <v>Not Answered</v>
      </c>
      <c r="AS4" s="5" t="str">
        <f>IFERROR(__xludf.DUMMYFUNCTION("""COMPUTED_VALUE"""),"Not Answered")</f>
        <v>Not Answered</v>
      </c>
      <c r="AT4" s="11">
        <f t="shared" si="3"/>
        <v>45582.51569</v>
      </c>
      <c r="AU4" s="5" t="str">
        <f t="shared" si="4"/>
        <v>Entur</v>
      </c>
      <c r="AV4" s="5" t="str">
        <f>IFERROR(__xludf.DUMMYFUNCTION("if(ISNUMBER(A4),FILTER(N4:AF4,REGEXMATCH(N4:AF4, ""Not Answered"")=FALSE),)"),"Bent Lorentzen")</f>
        <v>Bent Lorentzen</v>
      </c>
      <c r="AW4" s="5" t="str">
        <f>if(ISNUMBER($C4), VLOOKUP(AV4, konsulenter!$A$1:$B99,2,false),)</f>
        <v>#N/A</v>
      </c>
      <c r="AX4" s="10">
        <f>if(ISNUMBER($C4), VLOOKUP(AG4, mapping!$A$2:$B99,2,false),)</f>
        <v>6</v>
      </c>
      <c r="AY4" s="10" t="str">
        <f t="shared" si="5"/>
        <v>Bent er en svært kompetent teknolog som leverer arbeid av høy kvalitet. Hans erfaring og kompetanse innenfor feltet har bidratt til gode diskusjoner i teamet, gode løsninger, kunnskapsdeling og har vært med på å dra teamet i en veldig god retning. </v>
      </c>
      <c r="AZ4" s="10">
        <f>if(ISNUMBER($C4), VLOOKUP(AI4, mapping!$A$2:$B99,2,false),)</f>
        <v>6</v>
      </c>
      <c r="BA4" s="10" t="str">
        <f t="shared" si="6"/>
        <v>Bent har absolutt den nødvendige kompetansen for det arbeidet Entur trenger utført, og av de få områdene han ikke hadde kunnskap til fra før har han vist stor lærevilje og raskt kommet opp på et høyt kunnskapsnivå for ny teknologi og ikke minst domene.</v>
      </c>
      <c r="BB4" s="10">
        <f>if(ISNUMBER($C4), VLOOKUP(AK4, mapping!$A$2:$B99,2,false),)</f>
        <v>6</v>
      </c>
      <c r="BC4" s="10" t="str">
        <f t="shared" si="7"/>
        <v>Som nevnt som kommentar i det første spørsmålet bidrar Bent i aller største grad til kompetansedeling innad i teamet. Hans evne til å vise forståelse og tålmodighet for de som skal tilegne seg ny kunnskap gjør han til en god mentor.</v>
      </c>
      <c r="BD4" s="10">
        <f>if(ISNUMBER($C4), VLOOKUP(AM4, mapping!$A$2:$B99,2,false),)</f>
        <v>6</v>
      </c>
      <c r="BE4" s="10" t="str">
        <f t="shared" si="8"/>
        <v>Bent er veldig samarbeidsvillig og stiller alltid opp på kort varsel hvis noen trenger hjelp eller ønsker å arbeide sammen med ham. Bent og jeg (produktleder) har ukentlige møter for å planlegge uken jeg synes er veldig verdifullt. Han deltar alltid flittig i møter, har tydelige meninger, men er også alltid åpen for andres meninger og er villig til å diskutere emner med teamet før en endelig beslutning tas.</v>
      </c>
      <c r="BF4" s="10" t="str">
        <f>if(ISNUMBER($C4), VLOOKUP(AO4, mapping!$A$2:$B99,2,false),)</f>
        <v/>
      </c>
      <c r="BG4" s="10" t="str">
        <f t="shared" si="9"/>
        <v>-</v>
      </c>
      <c r="BH4" s="10">
        <f>if(ISNUMBER($C4), VLOOKUP(AQ4, mapping!$A$2:$B99,2,false),)</f>
        <v>6</v>
      </c>
      <c r="BI4" s="10" t="str">
        <f t="shared" ref="BI4:BJ4" si="11">if(ISNUMBER($C4), IF(AR4="Not Answered","-",AR4),)</f>
        <v>-</v>
      </c>
      <c r="BJ4" s="10" t="str">
        <f t="shared" si="11"/>
        <v>-</v>
      </c>
    </row>
    <row r="5">
      <c r="A5" s="5">
        <f>IFERROR(__xludf.DUMMYFUNCTION("""COMPUTED_VALUE"""),1.14714432734E11)</f>
        <v>114714432734</v>
      </c>
      <c r="B5" s="11">
        <f>IFERROR(__xludf.DUMMYFUNCTION("""COMPUTED_VALUE"""),45582.563298611116)</f>
        <v>45582.5633</v>
      </c>
      <c r="C5" s="11">
        <f>IFERROR(__xludf.DUMMYFUNCTION("""COMPUTED_VALUE"""),45582.57761574074)</f>
        <v>45582.57762</v>
      </c>
      <c r="D5" s="5" t="str">
        <f>IFERROR(__xludf.DUMMYFUNCTION("""COMPUTED_VALUE"""),"46.212.44.252")</f>
        <v>46.212.44.252</v>
      </c>
      <c r="E5" s="5">
        <f>IFERROR(__xludf.DUMMYFUNCTION("""COMPUTED_VALUE"""),1236.0)</f>
        <v>1236</v>
      </c>
      <c r="F5" s="5" t="str">
        <f>IFERROR(__xludf.DUMMYFUNCTION("""COMPUTED_VALUE"""),"completed")</f>
        <v>completed</v>
      </c>
      <c r="G5" s="5" t="str">
        <f>IFERROR(__xludf.DUMMYFUNCTION("""COMPUTED_VALUE"""),"Not Answered")</f>
        <v>Not Answered</v>
      </c>
      <c r="H5" s="5" t="str">
        <f>IFERROR(__xludf.DUMMYFUNCTION("""COMPUTED_VALUE"""),"Not Answered")</f>
        <v>Not Answered</v>
      </c>
      <c r="I5" s="5" t="str">
        <f>IFERROR(__xludf.DUMMYFUNCTION("""COMPUTED_VALUE"""),"Not Answered")</f>
        <v>Not Answered</v>
      </c>
      <c r="J5" s="5">
        <f>IFERROR(__xludf.DUMMYFUNCTION("""COMPUTED_VALUE"""),4.33188881E8)</f>
        <v>433188881</v>
      </c>
      <c r="K5" s="5" t="str">
        <f>IFERROR(__xludf.DUMMYFUNCTION("""COMPUTED_VALUE"""),"weblink")</f>
        <v>weblink</v>
      </c>
      <c r="L5" s="5" t="str">
        <f>IFERROR(__xludf.DUMMYFUNCTION("""COMPUTED_VALUE"""),"Not Answered")</f>
        <v>Not Answered</v>
      </c>
      <c r="M5" s="5" t="str">
        <f>IFERROR(__xludf.DUMMYFUNCTION("""COMPUTED_VALUE"""),"Entur")</f>
        <v>Entur</v>
      </c>
      <c r="N5" s="5" t="str">
        <f>IFERROR(__xludf.DUMMYFUNCTION("""COMPUTED_VALUE"""),"Not Answered")</f>
        <v>Not Answered</v>
      </c>
      <c r="O5" s="5" t="str">
        <f>IFERROR(__xludf.DUMMYFUNCTION("""COMPUTED_VALUE"""),"Not Answered")</f>
        <v>Not Answered</v>
      </c>
      <c r="P5" s="5" t="str">
        <f>IFERROR(__xludf.DUMMYFUNCTION("""COMPUTED_VALUE"""),"Not Answered")</f>
        <v>Not Answered</v>
      </c>
      <c r="Q5" s="5" t="str">
        <f>IFERROR(__xludf.DUMMYFUNCTION("""COMPUTED_VALUE"""),"Not Answered")</f>
        <v>Not Answered</v>
      </c>
      <c r="R5" s="5" t="str">
        <f>IFERROR(__xludf.DUMMYFUNCTION("""COMPUTED_VALUE"""),"Not Answered")</f>
        <v>Not Answered</v>
      </c>
      <c r="S5" s="5" t="str">
        <f>IFERROR(__xludf.DUMMYFUNCTION("""COMPUTED_VALUE"""),"Not Answered")</f>
        <v>Not Answered</v>
      </c>
      <c r="T5" s="5" t="str">
        <f>IFERROR(__xludf.DUMMYFUNCTION("""COMPUTED_VALUE"""),"Not Answered")</f>
        <v>Not Answered</v>
      </c>
      <c r="U5" s="5" t="str">
        <f>IFERROR(__xludf.DUMMYFUNCTION("""COMPUTED_VALUE"""),"Not Answered")</f>
        <v>Not Answered</v>
      </c>
      <c r="V5" s="5" t="str">
        <f>IFERROR(__xludf.DUMMYFUNCTION("""COMPUTED_VALUE"""),"Not Answered")</f>
        <v>Not Answered</v>
      </c>
      <c r="W5" s="5" t="str">
        <f>IFERROR(__xludf.DUMMYFUNCTION("""COMPUTED_VALUE"""),"Not Answered")</f>
        <v>Not Answered</v>
      </c>
      <c r="X5" s="5" t="str">
        <f>IFERROR(__xludf.DUMMYFUNCTION("""COMPUTED_VALUE"""),"Not Answered")</f>
        <v>Not Answered</v>
      </c>
      <c r="Y5" s="5" t="str">
        <f>IFERROR(__xludf.DUMMYFUNCTION("""COMPUTED_VALUE"""),"Not Answered")</f>
        <v>Not Answered</v>
      </c>
      <c r="Z5" s="5" t="str">
        <f>IFERROR(__xludf.DUMMYFUNCTION("""COMPUTED_VALUE"""),"Not Answered")</f>
        <v>Not Answered</v>
      </c>
      <c r="AA5" s="5" t="str">
        <f>IFERROR(__xludf.DUMMYFUNCTION("""COMPUTED_VALUE"""),"Frederik Rønnevig")</f>
        <v>Frederik Rønnevig</v>
      </c>
      <c r="AB5" s="5" t="str">
        <f>IFERROR(__xludf.DUMMYFUNCTION("""COMPUTED_VALUE"""),"Not Answered")</f>
        <v>Not Answered</v>
      </c>
      <c r="AC5" s="5" t="str">
        <f>IFERROR(__xludf.DUMMYFUNCTION("""COMPUTED_VALUE"""),"Not Answered")</f>
        <v>Not Answered</v>
      </c>
      <c r="AD5" s="5" t="str">
        <f>IFERROR(__xludf.DUMMYFUNCTION("""COMPUTED_VALUE"""),"Not Answered")</f>
        <v>Not Answered</v>
      </c>
      <c r="AE5" s="5" t="str">
        <f>IFERROR(__xludf.DUMMYFUNCTION("""COMPUTED_VALUE"""),"Not Answered")</f>
        <v>Not Answered</v>
      </c>
      <c r="AF5" s="5" t="str">
        <f>IFERROR(__xludf.DUMMYFUNCTION("""COMPUTED_VALUE"""),"Not Answered")</f>
        <v>Not Answered</v>
      </c>
      <c r="AG5" s="5" t="str">
        <f>IFERROR(__xludf.DUMMYFUNCTION("""COMPUTED_VALUE"""),"Svært fornøyd")</f>
        <v>Svært fornøyd</v>
      </c>
      <c r="AH5" s="5" t="str">
        <f>IFERROR(__xludf.DUMMYFUNCTION("""COMPUTED_VALUE"""),"Frederik har hovedansvaret for DevOps i teamet, og har bidratt til at teamet følger den ønskede infrastrukturen i Entur på en svært god måte i et helt nyoppstartet team (CI/CD-løp, GCP, tilgangsstyring mm). Han har også levert godt på selve applikasjonen "&amp;"vi utvikler på.")</f>
        <v>Frederik har hovedansvaret for DevOps i teamet, og har bidratt til at teamet følger den ønskede infrastrukturen i Entur på en svært god måte i et helt nyoppstartet team (CI/CD-løp, GCP, tilgangsstyring mm). Han har også levert godt på selve applikasjonen vi utvikler på.</v>
      </c>
      <c r="AI5" s="5" t="str">
        <f>IFERROR(__xludf.DUMMYFUNCTION("""COMPUTED_VALUE"""),"I stor grad")</f>
        <v>I stor grad</v>
      </c>
      <c r="AJ5" s="5" t="str">
        <f>IFERROR(__xludf.DUMMYFUNCTION("""COMPUTED_VALUE"""),"Frederik har veldig god teknisk kompetanse både innenfor programmering og DevOps. Han er også svært lærevillig og setter alltid pris på å få nye oppgaver med teknologier han ikke har brukt før. ")</f>
        <v>Frederik har veldig god teknisk kompetanse både innenfor programmering og DevOps. Han er også svært lærevillig og setter alltid pris på å få nye oppgaver med teknologier han ikke har brukt før. </v>
      </c>
      <c r="AK5" s="5" t="str">
        <f>IFERROR(__xludf.DUMMYFUNCTION("""COMPUTED_VALUE"""),"Svært fornøyd")</f>
        <v>Svært fornøyd</v>
      </c>
      <c r="AL5" s="5" t="str">
        <f>IFERROR(__xludf.DUMMYFUNCTION("""COMPUTED_VALUE"""),"Frederik er kanskje den på teamet som er aller best til å dokumentere både kode og prosesser i teamet, som legger til rette for at både teamet og eksterne enkelt kan sette seg inn i kode og prosesser og forstå hans tankeprosess ved valg. Han har også bidr"&amp;"att på dokumentasjonen til andre team for å gjøre det enklere for nestemann som skal lære seg det samme. ")</f>
        <v>Frederik er kanskje den på teamet som er aller best til å dokumentere både kode og prosesser i teamet, som legger til rette for at både teamet og eksterne enkelt kan sette seg inn i kode og prosesser og forstå hans tankeprosess ved valg. Han har også bidratt på dokumentasjonen til andre team for å gjøre det enklere for nestemann som skal lære seg det samme. </v>
      </c>
      <c r="AM5" s="5" t="str">
        <f>IFERROR(__xludf.DUMMYFUNCTION("""COMPUTED_VALUE"""),"Svært fornøyd")</f>
        <v>Svært fornøyd</v>
      </c>
      <c r="AN5" s="5" t="str">
        <f>IFERROR(__xludf.DUMMYFUNCTION("""COMPUTED_VALUE"""),"Jeg er generelt svært fornøyd med både samarbeidet og kommunikasjonen til Frederik. Han stiller også alltid opp hvis noen trenger hjelp, løser gjerne oppgaver med andre og bidrar alltid til god stemning i teamet. Fordi jeg setter veldig pris på hans menin"&amp;"ger skulle jeg kanskje ønske at han kunne vært enda litt mer på/med i diskusjoner i møter, men generelt er jeg svært fornøyd med samarbeidet vårt.")</f>
        <v>Jeg er generelt svært fornøyd med både samarbeidet og kommunikasjonen til Frederik. Han stiller også alltid opp hvis noen trenger hjelp, løser gjerne oppgaver med andre og bidrar alltid til god stemning i teamet. Fordi jeg setter veldig pris på hans meninger skulle jeg kanskje ønske at han kunne vært enda litt mer på/med i diskusjoner i møter, men generelt er jeg svært fornøyd med samarbeidet vårt.</v>
      </c>
      <c r="AO5" s="5" t="str">
        <f>IFERROR(__xludf.DUMMYFUNCTION("""COMPUTED_VALUE"""),"Not Answered")</f>
        <v>Not Answered</v>
      </c>
      <c r="AP5" s="5" t="str">
        <f>IFERROR(__xludf.DUMMYFUNCTION("""COMPUTED_VALUE"""),"Not Answered")</f>
        <v>Not Answered</v>
      </c>
      <c r="AQ5" s="5" t="str">
        <f>IFERROR(__xludf.DUMMYFUNCTION("""COMPUTED_VALUE"""),"I stor grad")</f>
        <v>I stor grad</v>
      </c>
      <c r="AR5" s="5" t="str">
        <f>IFERROR(__xludf.DUMMYFUNCTION("""COMPUTED_VALUE"""),"Not Answered")</f>
        <v>Not Answered</v>
      </c>
      <c r="AS5" s="5" t="str">
        <f>IFERROR(__xludf.DUMMYFUNCTION("""COMPUTED_VALUE"""),"Not Answered")</f>
        <v>Not Answered</v>
      </c>
      <c r="AT5" s="11">
        <f t="shared" si="3"/>
        <v>45582.5633</v>
      </c>
      <c r="AU5" s="5" t="str">
        <f t="shared" si="4"/>
        <v>Entur</v>
      </c>
      <c r="AV5" s="5" t="str">
        <f>IFERROR(__xludf.DUMMYFUNCTION("if(ISNUMBER(A5),FILTER(N5:AF5,REGEXMATCH(N5:AF5, ""Not Answered"")=FALSE),)"),"Frederik Rønnevig")</f>
        <v>Frederik Rønnevig</v>
      </c>
      <c r="AW5" s="5" t="str">
        <f>if(ISNUMBER($C5), VLOOKUP(AV5, konsulenter!$A$1:$B99,2,false),)</f>
        <v>#N/A</v>
      </c>
      <c r="AX5" s="10">
        <f>if(ISNUMBER($C5), VLOOKUP(AG5, mapping!$A$2:$B99,2,false),)</f>
        <v>6</v>
      </c>
      <c r="AY5" s="10" t="str">
        <f t="shared" si="5"/>
        <v>Frederik har hovedansvaret for DevOps i teamet, og har bidratt til at teamet følger den ønskede infrastrukturen i Entur på en svært god måte i et helt nyoppstartet team (CI/CD-løp, GCP, tilgangsstyring mm). Han har også levert godt på selve applikasjonen vi utvikler på.</v>
      </c>
      <c r="AZ5" s="10">
        <f>if(ISNUMBER($C5), VLOOKUP(AI5, mapping!$A$2:$B99,2,false),)</f>
        <v>6</v>
      </c>
      <c r="BA5" s="10" t="str">
        <f t="shared" si="6"/>
        <v>Frederik har veldig god teknisk kompetanse både innenfor programmering og DevOps. Han er også svært lærevillig og setter alltid pris på å få nye oppgaver med teknologier han ikke har brukt før. </v>
      </c>
      <c r="BB5" s="10">
        <f>if(ISNUMBER($C5), VLOOKUP(AK5, mapping!$A$2:$B99,2,false),)</f>
        <v>6</v>
      </c>
      <c r="BC5" s="10" t="str">
        <f t="shared" si="7"/>
        <v>Frederik er kanskje den på teamet som er aller best til å dokumentere både kode og prosesser i teamet, som legger til rette for at både teamet og eksterne enkelt kan sette seg inn i kode og prosesser og forstå hans tankeprosess ved valg. Han har også bidratt på dokumentasjonen til andre team for å gjøre det enklere for nestemann som skal lære seg det samme. </v>
      </c>
      <c r="BD5" s="10">
        <f>if(ISNUMBER($C5), VLOOKUP(AM5, mapping!$A$2:$B99,2,false),)</f>
        <v>6</v>
      </c>
      <c r="BE5" s="10" t="str">
        <f t="shared" si="8"/>
        <v>Jeg er generelt svært fornøyd med både samarbeidet og kommunikasjonen til Frederik. Han stiller også alltid opp hvis noen trenger hjelp, løser gjerne oppgaver med andre og bidrar alltid til god stemning i teamet. Fordi jeg setter veldig pris på hans meninger skulle jeg kanskje ønske at han kunne vært enda litt mer på/med i diskusjoner i møter, men generelt er jeg svært fornøyd med samarbeidet vårt.</v>
      </c>
      <c r="BF5" s="10" t="str">
        <f>if(ISNUMBER($C5), VLOOKUP(AO5, mapping!$A$2:$B99,2,false),)</f>
        <v/>
      </c>
      <c r="BG5" s="10" t="str">
        <f t="shared" si="9"/>
        <v>-</v>
      </c>
      <c r="BH5" s="10">
        <f>if(ISNUMBER($C5), VLOOKUP(AQ5, mapping!$A$2:$B99,2,false),)</f>
        <v>6</v>
      </c>
      <c r="BI5" s="10" t="str">
        <f t="shared" ref="BI5:BJ5" si="12">if(ISNUMBER($C5), IF(AR5="Not Answered","-",AR5),)</f>
        <v>-</v>
      </c>
      <c r="BJ5" s="10" t="str">
        <f t="shared" si="12"/>
        <v>-</v>
      </c>
    </row>
    <row r="6">
      <c r="A6" s="5">
        <f>IFERROR(__xludf.DUMMYFUNCTION("""COMPUTED_VALUE"""),1.14714509378E11)</f>
        <v>114714509378</v>
      </c>
      <c r="B6" s="11">
        <f>IFERROR(__xludf.DUMMYFUNCTION("""COMPUTED_VALUE"""),45582.63717592593)</f>
        <v>45582.63718</v>
      </c>
      <c r="C6" s="11">
        <f>IFERROR(__xludf.DUMMYFUNCTION("""COMPUTED_VALUE"""),45582.648506944446)</f>
        <v>45582.64851</v>
      </c>
      <c r="D6" s="5" t="str">
        <f>IFERROR(__xludf.DUMMYFUNCTION("""COMPUTED_VALUE"""),"188.95.247.201")</f>
        <v>188.95.247.201</v>
      </c>
      <c r="E6" s="5">
        <f>IFERROR(__xludf.DUMMYFUNCTION("""COMPUTED_VALUE"""),978.0)</f>
        <v>978</v>
      </c>
      <c r="F6" s="5" t="str">
        <f>IFERROR(__xludf.DUMMYFUNCTION("""COMPUTED_VALUE"""),"completed")</f>
        <v>completed</v>
      </c>
      <c r="G6" s="5" t="str">
        <f>IFERROR(__xludf.DUMMYFUNCTION("""COMPUTED_VALUE"""),"Not Answered")</f>
        <v>Not Answered</v>
      </c>
      <c r="H6" s="5" t="str">
        <f>IFERROR(__xludf.DUMMYFUNCTION("""COMPUTED_VALUE"""),"Not Answered")</f>
        <v>Not Answered</v>
      </c>
      <c r="I6" s="5" t="str">
        <f>IFERROR(__xludf.DUMMYFUNCTION("""COMPUTED_VALUE"""),"Not Answered")</f>
        <v>Not Answered</v>
      </c>
      <c r="J6" s="5">
        <f>IFERROR(__xludf.DUMMYFUNCTION("""COMPUTED_VALUE"""),4.33188881E8)</f>
        <v>433188881</v>
      </c>
      <c r="K6" s="5" t="str">
        <f>IFERROR(__xludf.DUMMYFUNCTION("""COMPUTED_VALUE"""),"weblink")</f>
        <v>weblink</v>
      </c>
      <c r="L6" s="5" t="str">
        <f>IFERROR(__xludf.DUMMYFUNCTION("""COMPUTED_VALUE"""),"Not Answered")</f>
        <v>Not Answered</v>
      </c>
      <c r="M6" s="5" t="str">
        <f>IFERROR(__xludf.DUMMYFUNCTION("""COMPUTED_VALUE"""),"Ruter/TET Digital")</f>
        <v>Ruter/TET Digital</v>
      </c>
      <c r="N6" s="5" t="str">
        <f>IFERROR(__xludf.DUMMYFUNCTION("""COMPUTED_VALUE"""),"Not Answered")</f>
        <v>Not Answered</v>
      </c>
      <c r="O6" s="5" t="str">
        <f>IFERROR(__xludf.DUMMYFUNCTION("""COMPUTED_VALUE"""),"Not Answered")</f>
        <v>Not Answered</v>
      </c>
      <c r="P6" s="5" t="str">
        <f>IFERROR(__xludf.DUMMYFUNCTION("""COMPUTED_VALUE"""),"Not Answered")</f>
        <v>Not Answered</v>
      </c>
      <c r="Q6" s="5" t="str">
        <f>IFERROR(__xludf.DUMMYFUNCTION("""COMPUTED_VALUE"""),"Not Answered")</f>
        <v>Not Answered</v>
      </c>
      <c r="R6" s="5" t="str">
        <f>IFERROR(__xludf.DUMMYFUNCTION("""COMPUTED_VALUE"""),"David Børresen")</f>
        <v>David Børresen</v>
      </c>
      <c r="S6" s="5" t="str">
        <f>IFERROR(__xludf.DUMMYFUNCTION("""COMPUTED_VALUE"""),"Not Answered")</f>
        <v>Not Answered</v>
      </c>
      <c r="T6" s="5" t="str">
        <f>IFERROR(__xludf.DUMMYFUNCTION("""COMPUTED_VALUE"""),"Not Answered")</f>
        <v>Not Answered</v>
      </c>
      <c r="U6" s="5" t="str">
        <f>IFERROR(__xludf.DUMMYFUNCTION("""COMPUTED_VALUE"""),"Not Answered")</f>
        <v>Not Answered</v>
      </c>
      <c r="V6" s="5" t="str">
        <f>IFERROR(__xludf.DUMMYFUNCTION("""COMPUTED_VALUE"""),"Not Answered")</f>
        <v>Not Answered</v>
      </c>
      <c r="W6" s="5" t="str">
        <f>IFERROR(__xludf.DUMMYFUNCTION("""COMPUTED_VALUE"""),"Not Answered")</f>
        <v>Not Answered</v>
      </c>
      <c r="X6" s="5" t="str">
        <f>IFERROR(__xludf.DUMMYFUNCTION("""COMPUTED_VALUE"""),"Not Answered")</f>
        <v>Not Answered</v>
      </c>
      <c r="Y6" s="5" t="str">
        <f>IFERROR(__xludf.DUMMYFUNCTION("""COMPUTED_VALUE"""),"Not Answered")</f>
        <v>Not Answered</v>
      </c>
      <c r="Z6" s="5" t="str">
        <f>IFERROR(__xludf.DUMMYFUNCTION("""COMPUTED_VALUE"""),"Not Answered")</f>
        <v>Not Answered</v>
      </c>
      <c r="AA6" s="5" t="str">
        <f>IFERROR(__xludf.DUMMYFUNCTION("""COMPUTED_VALUE"""),"Not Answered")</f>
        <v>Not Answered</v>
      </c>
      <c r="AB6" s="5" t="str">
        <f>IFERROR(__xludf.DUMMYFUNCTION("""COMPUTED_VALUE"""),"Not Answered")</f>
        <v>Not Answered</v>
      </c>
      <c r="AC6" s="5" t="str">
        <f>IFERROR(__xludf.DUMMYFUNCTION("""COMPUTED_VALUE"""),"Not Answered")</f>
        <v>Not Answered</v>
      </c>
      <c r="AD6" s="5" t="str">
        <f>IFERROR(__xludf.DUMMYFUNCTION("""COMPUTED_VALUE"""),"Not Answered")</f>
        <v>Not Answered</v>
      </c>
      <c r="AE6" s="5" t="str">
        <f>IFERROR(__xludf.DUMMYFUNCTION("""COMPUTED_VALUE"""),"Not Answered")</f>
        <v>Not Answered</v>
      </c>
      <c r="AF6" s="5" t="str">
        <f>IFERROR(__xludf.DUMMYFUNCTION("""COMPUTED_VALUE"""),"Not Answered")</f>
        <v>Not Answered</v>
      </c>
      <c r="AG6" s="5" t="str">
        <f>IFERROR(__xludf.DUMMYFUNCTION("""COMPUTED_VALUE"""),"Svært fornøyd")</f>
        <v>Svært fornøyd</v>
      </c>
      <c r="AH6" s="5" t="str">
        <f>IFERROR(__xludf.DUMMYFUNCTION("""COMPUTED_VALUE"""),"Ekstremt kunnig inom sitt fag. Leverarar alltid. Har gjort ett arbete jag har svårt att se att någon andra kan göra lika bra.")</f>
        <v>Ekstremt kunnig inom sitt fag. Leverarar alltid. Har gjort ett arbete jag har svårt att se att någon andra kan göra lika bra.</v>
      </c>
      <c r="AI6" s="5" t="str">
        <f>IFERROR(__xludf.DUMMYFUNCTION("""COMPUTED_VALUE"""),"I stor grad")</f>
        <v>I stor grad</v>
      </c>
      <c r="AJ6" s="5" t="str">
        <f>IFERROR(__xludf.DUMMYFUNCTION("""COMPUTED_VALUE"""),"Otveksamt")</f>
        <v>Otveksamt</v>
      </c>
      <c r="AK6" s="5" t="str">
        <f>IFERROR(__xludf.DUMMYFUNCTION("""COMPUTED_VALUE"""),"Litt fornøyd")</f>
        <v>Litt fornøyd</v>
      </c>
      <c r="AL6" s="5" t="str">
        <f>IFERROR(__xludf.DUMMYFUNCTION("""COMPUTED_VALUE"""),"Båda konsulenterna sitter på så bra kompetans som är högre än andra i sällskapet. Jag skulle gärna se att dom delar med sig mer av det. Kan se att det kan vara aktuellt att dom delar med sig av sitt arbete i mycket större utsträckning på Ruter/TET. Kan va"&amp;"ra mer aktuellt när vi har mer på plats att visa mer emot ledelsen ect")</f>
        <v>Båda konsulenterna sitter på så bra kompetans som är högre än andra i sällskapet. Jag skulle gärna se att dom delar med sig mer av det. Kan se att det kan vara aktuellt att dom delar med sig av sitt arbete i mycket större utsträckning på Ruter/TET. Kan vara mer aktuellt när vi har mer på plats att visa mer emot ledelsen ect</v>
      </c>
      <c r="AM6" s="5" t="str">
        <f>IFERROR(__xludf.DUMMYFUNCTION("""COMPUTED_VALUE"""),"Svært fornøyd")</f>
        <v>Svært fornøyd</v>
      </c>
      <c r="AN6" s="5" t="str">
        <f>IFERROR(__xludf.DUMMYFUNCTION("""COMPUTED_VALUE"""),"Superenkelt att jobba med, enkel transparant kommunikation. Vågar komma med bra feedback ifall han inte är enig i saker. Alltid trevligt att prata med.")</f>
        <v>Superenkelt att jobba med, enkel transparant kommunikation. Vågar komma med bra feedback ifall han inte är enig i saker. Alltid trevligt att prata med.</v>
      </c>
      <c r="AO6" s="5" t="str">
        <f>IFERROR(__xludf.DUMMYFUNCTION("""COMPUTED_VALUE"""),"Litt fornøyd")</f>
        <v>Litt fornøyd</v>
      </c>
      <c r="AP6" s="5" t="str">
        <f>IFERROR(__xludf.DUMMYFUNCTION("""COMPUTED_VALUE"""),"Osäker på denna, Känner egentligen att jag inte har ett direkt förhållande emot JPro")</f>
        <v>Osäker på denna, Känner egentligen att jag inte har ett direkt förhållande emot JPro</v>
      </c>
      <c r="AQ6" s="5" t="str">
        <f>IFERROR(__xludf.DUMMYFUNCTION("""COMPUTED_VALUE"""),"5 - star")</f>
        <v>5 - star</v>
      </c>
      <c r="AR6" s="5" t="str">
        <f>IFERROR(__xludf.DUMMYFUNCTION("""COMPUTED_VALUE"""),"Smakar det så kostar det är väll det dom säger.")</f>
        <v>Smakar det så kostar det är väll det dom säger.</v>
      </c>
      <c r="AS6" s="5" t="str">
        <f>IFERROR(__xludf.DUMMYFUNCTION("""COMPUTED_VALUE"""),"Inte för tillfället ifrån Jpro")</f>
        <v>Inte för tillfället ifrån Jpro</v>
      </c>
      <c r="AT6" s="11">
        <f t="shared" si="3"/>
        <v>45582.63718</v>
      </c>
      <c r="AU6" s="5" t="str">
        <f t="shared" si="4"/>
        <v>Ruter/TET Digital</v>
      </c>
      <c r="AV6" s="5" t="str">
        <f>IFERROR(__xludf.DUMMYFUNCTION("if(ISNUMBER(A6),FILTER(N6:AF6,REGEXMATCH(N6:AF6, ""Not Answered"")=FALSE),)"),"David Børresen")</f>
        <v>David Børresen</v>
      </c>
      <c r="AW6" s="5" t="str">
        <f>if(ISNUMBER($C6), VLOOKUP(AV6, konsulenter!$A$1:$B99,2,false),)</f>
        <v>#N/A</v>
      </c>
      <c r="AX6" s="10">
        <f>if(ISNUMBER($C6), VLOOKUP(AG6, mapping!$A$2:$B99,2,false),)</f>
        <v>6</v>
      </c>
      <c r="AY6" s="10" t="str">
        <f t="shared" si="5"/>
        <v>Ekstremt kunnig inom sitt fag. Leverarar alltid. Har gjort ett arbete jag har svårt att se att någon andra kan göra lika bra.</v>
      </c>
      <c r="AZ6" s="10">
        <f>if(ISNUMBER($C6), VLOOKUP(AI6, mapping!$A$2:$B99,2,false),)</f>
        <v>6</v>
      </c>
      <c r="BA6" s="10" t="str">
        <f t="shared" si="6"/>
        <v>Otveksamt</v>
      </c>
      <c r="BB6" s="10">
        <f>if(ISNUMBER($C6), VLOOKUP(AK6, mapping!$A$2:$B99,2,false),)</f>
        <v>4</v>
      </c>
      <c r="BC6" s="10" t="str">
        <f t="shared" si="7"/>
        <v>Båda konsulenterna sitter på så bra kompetans som är högre än andra i sällskapet. Jag skulle gärna se att dom delar med sig mer av det. Kan se att det kan vara aktuellt att dom delar med sig av sitt arbete i mycket större utsträckning på Ruter/TET. Kan vara mer aktuellt när vi har mer på plats att visa mer emot ledelsen ect</v>
      </c>
      <c r="BD6" s="10">
        <f>if(ISNUMBER($C6), VLOOKUP(AM6, mapping!$A$2:$B99,2,false),)</f>
        <v>6</v>
      </c>
      <c r="BE6" s="10" t="str">
        <f t="shared" si="8"/>
        <v>Superenkelt att jobba med, enkel transparant kommunikation. Vågar komma med bra feedback ifall han inte är enig i saker. Alltid trevligt att prata med.</v>
      </c>
      <c r="BF6" s="10">
        <f>if(ISNUMBER($C6), VLOOKUP(AO6, mapping!$A$2:$B99,2,false),)</f>
        <v>4</v>
      </c>
      <c r="BG6" s="10" t="str">
        <f t="shared" si="9"/>
        <v>Osäker på denna, Känner egentligen att jag inte har ett direkt förhållande emot JPro</v>
      </c>
      <c r="BH6" s="10">
        <f>if(ISNUMBER($C6), VLOOKUP(AQ6, mapping!$A$2:$B99,2,false),)</f>
        <v>5</v>
      </c>
      <c r="BI6" s="10" t="str">
        <f t="shared" ref="BI6:BJ6" si="13">if(ISNUMBER($C6), IF(AR6="Not Answered","-",AR6),)</f>
        <v>Smakar det så kostar det är väll det dom säger.</v>
      </c>
      <c r="BJ6" s="10" t="str">
        <f t="shared" si="13"/>
        <v>Inte för tillfället ifrån Jpro</v>
      </c>
    </row>
    <row r="7">
      <c r="A7" s="5">
        <f>IFERROR(__xludf.DUMMYFUNCTION("""COMPUTED_VALUE"""),1.14714523977E11)</f>
        <v>114714523977</v>
      </c>
      <c r="B7" s="11">
        <f>IFERROR(__xludf.DUMMYFUNCTION("""COMPUTED_VALUE"""),45582.6487037037)</f>
        <v>45582.6487</v>
      </c>
      <c r="C7" s="11">
        <f>IFERROR(__xludf.DUMMYFUNCTION("""COMPUTED_VALUE"""),45582.652870370366)</f>
        <v>45582.65287</v>
      </c>
      <c r="D7" s="5" t="str">
        <f>IFERROR(__xludf.DUMMYFUNCTION("""COMPUTED_VALUE"""),"188.95.247.201")</f>
        <v>188.95.247.201</v>
      </c>
      <c r="E7" s="5">
        <f>IFERROR(__xludf.DUMMYFUNCTION("""COMPUTED_VALUE"""),360.0)</f>
        <v>360</v>
      </c>
      <c r="F7" s="5" t="str">
        <f>IFERROR(__xludf.DUMMYFUNCTION("""COMPUTED_VALUE"""),"completed")</f>
        <v>completed</v>
      </c>
      <c r="G7" s="5" t="str">
        <f>IFERROR(__xludf.DUMMYFUNCTION("""COMPUTED_VALUE"""),"Not Answered")</f>
        <v>Not Answered</v>
      </c>
      <c r="H7" s="5" t="str">
        <f>IFERROR(__xludf.DUMMYFUNCTION("""COMPUTED_VALUE"""),"Not Answered")</f>
        <v>Not Answered</v>
      </c>
      <c r="I7" s="5" t="str">
        <f>IFERROR(__xludf.DUMMYFUNCTION("""COMPUTED_VALUE"""),"Not Answered")</f>
        <v>Not Answered</v>
      </c>
      <c r="J7" s="5">
        <f>IFERROR(__xludf.DUMMYFUNCTION("""COMPUTED_VALUE"""),4.33188881E8)</f>
        <v>433188881</v>
      </c>
      <c r="K7" s="5" t="str">
        <f>IFERROR(__xludf.DUMMYFUNCTION("""COMPUTED_VALUE"""),"weblink")</f>
        <v>weblink</v>
      </c>
      <c r="L7" s="5" t="str">
        <f>IFERROR(__xludf.DUMMYFUNCTION("""COMPUTED_VALUE"""),"Not Answered")</f>
        <v>Not Answered</v>
      </c>
      <c r="M7" s="5" t="str">
        <f>IFERROR(__xludf.DUMMYFUNCTION("""COMPUTED_VALUE"""),"Ruter/TET Digital")</f>
        <v>Ruter/TET Digital</v>
      </c>
      <c r="N7" s="5" t="str">
        <f>IFERROR(__xludf.DUMMYFUNCTION("""COMPUTED_VALUE"""),"Not Answered")</f>
        <v>Not Answered</v>
      </c>
      <c r="O7" s="5" t="str">
        <f>IFERROR(__xludf.DUMMYFUNCTION("""COMPUTED_VALUE"""),"Not Answered")</f>
        <v>Not Answered</v>
      </c>
      <c r="P7" s="5" t="str">
        <f>IFERROR(__xludf.DUMMYFUNCTION("""COMPUTED_VALUE"""),"Not Answered")</f>
        <v>Not Answered</v>
      </c>
      <c r="Q7" s="5" t="str">
        <f>IFERROR(__xludf.DUMMYFUNCTION("""COMPUTED_VALUE"""),"Not Answered")</f>
        <v>Not Answered</v>
      </c>
      <c r="R7" s="5" t="str">
        <f>IFERROR(__xludf.DUMMYFUNCTION("""COMPUTED_VALUE"""),"Ole Kristian Fjærestad")</f>
        <v>Ole Kristian Fjærestad</v>
      </c>
      <c r="S7" s="5" t="str">
        <f>IFERROR(__xludf.DUMMYFUNCTION("""COMPUTED_VALUE"""),"Not Answered")</f>
        <v>Not Answered</v>
      </c>
      <c r="T7" s="5" t="str">
        <f>IFERROR(__xludf.DUMMYFUNCTION("""COMPUTED_VALUE"""),"Not Answered")</f>
        <v>Not Answered</v>
      </c>
      <c r="U7" s="5" t="str">
        <f>IFERROR(__xludf.DUMMYFUNCTION("""COMPUTED_VALUE"""),"Not Answered")</f>
        <v>Not Answered</v>
      </c>
      <c r="V7" s="5" t="str">
        <f>IFERROR(__xludf.DUMMYFUNCTION("""COMPUTED_VALUE"""),"Not Answered")</f>
        <v>Not Answered</v>
      </c>
      <c r="W7" s="5" t="str">
        <f>IFERROR(__xludf.DUMMYFUNCTION("""COMPUTED_VALUE"""),"Not Answered")</f>
        <v>Not Answered</v>
      </c>
      <c r="X7" s="5" t="str">
        <f>IFERROR(__xludf.DUMMYFUNCTION("""COMPUTED_VALUE"""),"Not Answered")</f>
        <v>Not Answered</v>
      </c>
      <c r="Y7" s="5" t="str">
        <f>IFERROR(__xludf.DUMMYFUNCTION("""COMPUTED_VALUE"""),"Not Answered")</f>
        <v>Not Answered</v>
      </c>
      <c r="Z7" s="5" t="str">
        <f>IFERROR(__xludf.DUMMYFUNCTION("""COMPUTED_VALUE"""),"Not Answered")</f>
        <v>Not Answered</v>
      </c>
      <c r="AA7" s="5" t="str">
        <f>IFERROR(__xludf.DUMMYFUNCTION("""COMPUTED_VALUE"""),"Not Answered")</f>
        <v>Not Answered</v>
      </c>
      <c r="AB7" s="5" t="str">
        <f>IFERROR(__xludf.DUMMYFUNCTION("""COMPUTED_VALUE"""),"Not Answered")</f>
        <v>Not Answered</v>
      </c>
      <c r="AC7" s="5" t="str">
        <f>IFERROR(__xludf.DUMMYFUNCTION("""COMPUTED_VALUE"""),"Not Answered")</f>
        <v>Not Answered</v>
      </c>
      <c r="AD7" s="5" t="str">
        <f>IFERROR(__xludf.DUMMYFUNCTION("""COMPUTED_VALUE"""),"Not Answered")</f>
        <v>Not Answered</v>
      </c>
      <c r="AE7" s="5" t="str">
        <f>IFERROR(__xludf.DUMMYFUNCTION("""COMPUTED_VALUE"""),"Not Answered")</f>
        <v>Not Answered</v>
      </c>
      <c r="AF7" s="5" t="str">
        <f>IFERROR(__xludf.DUMMYFUNCTION("""COMPUTED_VALUE"""),"Not Answered")</f>
        <v>Not Answered</v>
      </c>
      <c r="AG7" s="5" t="str">
        <f>IFERROR(__xludf.DUMMYFUNCTION("""COMPUTED_VALUE"""),"Svært fornøyd")</f>
        <v>Svært fornøyd</v>
      </c>
      <c r="AH7" s="5" t="str">
        <f>IFERROR(__xludf.DUMMYFUNCTION("""COMPUTED_VALUE"""),"För mig känns det som Ole Kristian inte bara tar design som facit, utan höjer arbetet och tänker ett steg längre. För mig är det ett signalement för en väldigt duktig utvecklare. Allt som jag sätt Ole kristian levererar är i hög klass.")</f>
        <v>För mig känns det som Ole Kristian inte bara tar design som facit, utan höjer arbetet och tänker ett steg längre. För mig är det ett signalement för en väldigt duktig utvecklare. Allt som jag sätt Ole kristian levererar är i hög klass.</v>
      </c>
      <c r="AI7" s="5" t="str">
        <f>IFERROR(__xludf.DUMMYFUNCTION("""COMPUTED_VALUE"""),"I stor grad")</f>
        <v>I stor grad</v>
      </c>
      <c r="AJ7" s="5" t="str">
        <f>IFERROR(__xludf.DUMMYFUNCTION("""COMPUTED_VALUE"""),"Absolut.")</f>
        <v>Absolut.</v>
      </c>
      <c r="AK7" s="5" t="str">
        <f>IFERROR(__xludf.DUMMYFUNCTION("""COMPUTED_VALUE"""),"Litt fornøyd")</f>
        <v>Litt fornøyd</v>
      </c>
      <c r="AL7" s="5" t="str">
        <f>IFERROR(__xludf.DUMMYFUNCTION("""COMPUTED_VALUE"""),"Se min tidigare kommentar. Jag skulle gärna se (kanske i en framtid när mer är på plats) att Ole kristian delar med sig mer av sitt arbete bredare inom organisationen. Tror mycket av arbetet är väldigt uppskattat av utvecklare, men jag vill gärna att andr"&amp;"a fag ser nyttan och kvaliteten.")</f>
        <v>Se min tidigare kommentar. Jag skulle gärna se (kanske i en framtid när mer är på plats) att Ole kristian delar med sig mer av sitt arbete bredare inom organisationen. Tror mycket av arbetet är väldigt uppskattat av utvecklare, men jag vill gärna att andra fag ser nyttan och kvaliteten.</v>
      </c>
      <c r="AM7" s="5" t="str">
        <f>IFERROR(__xludf.DUMMYFUNCTION("""COMPUTED_VALUE"""),"Svært fornøyd")</f>
        <v>Svært fornøyd</v>
      </c>
      <c r="AN7" s="5" t="str">
        <f>IFERROR(__xludf.DUMMYFUNCTION("""COMPUTED_VALUE"""),"Ole kristian är superenkel att jobba med, Kommer med bra inspel och tankar. Alltid ett nöje att prata med och jag ser fram emot att sitta sammen med på kontoret.")</f>
        <v>Ole kristian är superenkel att jobba med, Kommer med bra inspel och tankar. Alltid ett nöje att prata med och jag ser fram emot att sitta sammen med på kontoret.</v>
      </c>
      <c r="AO7" s="5" t="str">
        <f>IFERROR(__xludf.DUMMYFUNCTION("""COMPUTED_VALUE"""),"Litt fornøyd")</f>
        <v>Litt fornøyd</v>
      </c>
      <c r="AP7" s="5" t="str">
        <f>IFERROR(__xludf.DUMMYFUNCTION("""COMPUTED_VALUE"""),"Se tidigare kommentar om detta, har som sagt inget direkt förhållande till Jpro")</f>
        <v>Se tidigare kommentar om detta, har som sagt inget direkt förhållande till Jpro</v>
      </c>
      <c r="AQ7" s="5" t="str">
        <f>IFERROR(__xludf.DUMMYFUNCTION("""COMPUTED_VALUE"""),"5 - star")</f>
        <v>5 - star</v>
      </c>
      <c r="AR7" s="5" t="str">
        <f>IFERROR(__xludf.DUMMYFUNCTION("""COMPUTED_VALUE"""),"Smakar det så kostar det.")</f>
        <v>Smakar det så kostar det.</v>
      </c>
      <c r="AS7" s="5" t="str">
        <f>IFERROR(__xludf.DUMMYFUNCTION("""COMPUTED_VALUE"""),"Nej, inte nu")</f>
        <v>Nej, inte nu</v>
      </c>
      <c r="AT7" s="11">
        <f t="shared" si="3"/>
        <v>45582.6487</v>
      </c>
      <c r="AU7" s="5" t="str">
        <f t="shared" si="4"/>
        <v>Ruter/TET Digital</v>
      </c>
      <c r="AV7" s="5" t="str">
        <f>IFERROR(__xludf.DUMMYFUNCTION("if(ISNUMBER(A7),FILTER(N7:AF7,REGEXMATCH(N7:AF7, ""Not Answered"")=FALSE),)"),"Ole Kristian Fjærestad")</f>
        <v>Ole Kristian Fjærestad</v>
      </c>
      <c r="AW7" s="5" t="str">
        <f>if(ISNUMBER($C7), VLOOKUP(AV7, konsulenter!$A$1:$B99,2,false),)</f>
        <v>#N/A</v>
      </c>
      <c r="AX7" s="10">
        <f>if(ISNUMBER($C7), VLOOKUP(AG7, mapping!$A$2:$B99,2,false),)</f>
        <v>6</v>
      </c>
      <c r="AY7" s="10" t="str">
        <f t="shared" si="5"/>
        <v>För mig känns det som Ole Kristian inte bara tar design som facit, utan höjer arbetet och tänker ett steg längre. För mig är det ett signalement för en väldigt duktig utvecklare. Allt som jag sätt Ole kristian levererar är i hög klass.</v>
      </c>
      <c r="AZ7" s="10">
        <f>if(ISNUMBER($C7), VLOOKUP(AI7, mapping!$A$2:$B99,2,false),)</f>
        <v>6</v>
      </c>
      <c r="BA7" s="10" t="str">
        <f t="shared" si="6"/>
        <v>Absolut.</v>
      </c>
      <c r="BB7" s="10">
        <f>if(ISNUMBER($C7), VLOOKUP(AK7, mapping!$A$2:$B99,2,false),)</f>
        <v>4</v>
      </c>
      <c r="BC7" s="10" t="str">
        <f t="shared" si="7"/>
        <v>Se min tidigare kommentar. Jag skulle gärna se (kanske i en framtid när mer är på plats) att Ole kristian delar med sig mer av sitt arbete bredare inom organisationen. Tror mycket av arbetet är väldigt uppskattat av utvecklare, men jag vill gärna att andra fag ser nyttan och kvaliteten.</v>
      </c>
      <c r="BD7" s="10">
        <f>if(ISNUMBER($C7), VLOOKUP(AM7, mapping!$A$2:$B99,2,false),)</f>
        <v>6</v>
      </c>
      <c r="BE7" s="10" t="str">
        <f t="shared" si="8"/>
        <v>Ole kristian är superenkel att jobba med, Kommer med bra inspel och tankar. Alltid ett nöje att prata med och jag ser fram emot att sitta sammen med på kontoret.</v>
      </c>
      <c r="BF7" s="10">
        <f>if(ISNUMBER($C7), VLOOKUP(AO7, mapping!$A$2:$B99,2,false),)</f>
        <v>4</v>
      </c>
      <c r="BG7" s="10" t="str">
        <f t="shared" si="9"/>
        <v>Se tidigare kommentar om detta, har som sagt inget direkt förhållande till Jpro</v>
      </c>
      <c r="BH7" s="10">
        <f>if(ISNUMBER($C7), VLOOKUP(AQ7, mapping!$A$2:$B99,2,false),)</f>
        <v>5</v>
      </c>
      <c r="BI7" s="10" t="str">
        <f t="shared" ref="BI7:BJ7" si="14">if(ISNUMBER($C7), IF(AR7="Not Answered","-",AR7),)</f>
        <v>Smakar det så kostar det.</v>
      </c>
      <c r="BJ7" s="10" t="str">
        <f t="shared" si="14"/>
        <v>Nej, inte nu</v>
      </c>
    </row>
    <row r="8">
      <c r="A8" s="5">
        <f>IFERROR(__xludf.DUMMYFUNCTION("""COMPUTED_VALUE"""),1.1471650034E11)</f>
        <v>114716500340</v>
      </c>
      <c r="B8" s="11">
        <f>IFERROR(__xludf.DUMMYFUNCTION("""COMPUTED_VALUE"""),45585.556805555556)</f>
        <v>45585.55681</v>
      </c>
      <c r="C8" s="11">
        <f>IFERROR(__xludf.DUMMYFUNCTION("""COMPUTED_VALUE"""),45585.55824074074)</f>
        <v>45585.55824</v>
      </c>
      <c r="D8" s="5" t="str">
        <f>IFERROR(__xludf.DUMMYFUNCTION("""COMPUTED_VALUE"""),"46.212.188.97")</f>
        <v>46.212.188.97</v>
      </c>
      <c r="E8" s="5">
        <f>IFERROR(__xludf.DUMMYFUNCTION("""COMPUTED_VALUE"""),123.0)</f>
        <v>123</v>
      </c>
      <c r="F8" s="5" t="str">
        <f>IFERROR(__xludf.DUMMYFUNCTION("""COMPUTED_VALUE"""),"completed")</f>
        <v>completed</v>
      </c>
      <c r="G8" s="5" t="str">
        <f>IFERROR(__xludf.DUMMYFUNCTION("""COMPUTED_VALUE"""),"Not Answered")</f>
        <v>Not Answered</v>
      </c>
      <c r="H8" s="5" t="str">
        <f>IFERROR(__xludf.DUMMYFUNCTION("""COMPUTED_VALUE"""),"Not Answered")</f>
        <v>Not Answered</v>
      </c>
      <c r="I8" s="5" t="str">
        <f>IFERROR(__xludf.DUMMYFUNCTION("""COMPUTED_VALUE"""),"Not Answered")</f>
        <v>Not Answered</v>
      </c>
      <c r="J8" s="5">
        <f>IFERROR(__xludf.DUMMYFUNCTION("""COMPUTED_VALUE"""),4.33188881E8)</f>
        <v>433188881</v>
      </c>
      <c r="K8" s="5" t="str">
        <f>IFERROR(__xludf.DUMMYFUNCTION("""COMPUTED_VALUE"""),"weblink")</f>
        <v>weblink</v>
      </c>
      <c r="L8" s="5" t="str">
        <f>IFERROR(__xludf.DUMMYFUNCTION("""COMPUTED_VALUE"""),"Not Answered")</f>
        <v>Not Answered</v>
      </c>
      <c r="M8" s="5" t="str">
        <f>IFERROR(__xludf.DUMMYFUNCTION("""COMPUTED_VALUE"""),"NRK")</f>
        <v>NRK</v>
      </c>
      <c r="N8" s="5" t="str">
        <f>IFERROR(__xludf.DUMMYFUNCTION("""COMPUTED_VALUE"""),"Not Answered")</f>
        <v>Not Answered</v>
      </c>
      <c r="O8" s="5" t="str">
        <f>IFERROR(__xludf.DUMMYFUNCTION("""COMPUTED_VALUE"""),"Not Answered")</f>
        <v>Not Answered</v>
      </c>
      <c r="P8" s="5" t="str">
        <f>IFERROR(__xludf.DUMMYFUNCTION("""COMPUTED_VALUE"""),"Not Answered")</f>
        <v>Not Answered</v>
      </c>
      <c r="Q8" s="5" t="str">
        <f>IFERROR(__xludf.DUMMYFUNCTION("""COMPUTED_VALUE"""),"Not Answered")</f>
        <v>Not Answered</v>
      </c>
      <c r="R8" s="5" t="str">
        <f>IFERROR(__xludf.DUMMYFUNCTION("""COMPUTED_VALUE"""),"Not Answered")</f>
        <v>Not Answered</v>
      </c>
      <c r="S8" s="5" t="str">
        <f>IFERROR(__xludf.DUMMYFUNCTION("""COMPUTED_VALUE"""),"Not Answered")</f>
        <v>Not Answered</v>
      </c>
      <c r="T8" s="5" t="str">
        <f>IFERROR(__xludf.DUMMYFUNCTION("""COMPUTED_VALUE"""),"Not Answered")</f>
        <v>Not Answered</v>
      </c>
      <c r="U8" s="5" t="str">
        <f>IFERROR(__xludf.DUMMYFUNCTION("""COMPUTED_VALUE"""),"Audun Småge")</f>
        <v>Audun Småge</v>
      </c>
      <c r="V8" s="5" t="str">
        <f>IFERROR(__xludf.DUMMYFUNCTION("""COMPUTED_VALUE"""),"Not Answered")</f>
        <v>Not Answered</v>
      </c>
      <c r="W8" s="5" t="str">
        <f>IFERROR(__xludf.DUMMYFUNCTION("""COMPUTED_VALUE"""),"Not Answered")</f>
        <v>Not Answered</v>
      </c>
      <c r="X8" s="5" t="str">
        <f>IFERROR(__xludf.DUMMYFUNCTION("""COMPUTED_VALUE"""),"Not Answered")</f>
        <v>Not Answered</v>
      </c>
      <c r="Y8" s="5" t="str">
        <f>IFERROR(__xludf.DUMMYFUNCTION("""COMPUTED_VALUE"""),"Not Answered")</f>
        <v>Not Answered</v>
      </c>
      <c r="Z8" s="5" t="str">
        <f>IFERROR(__xludf.DUMMYFUNCTION("""COMPUTED_VALUE"""),"Not Answered")</f>
        <v>Not Answered</v>
      </c>
      <c r="AA8" s="5" t="str">
        <f>IFERROR(__xludf.DUMMYFUNCTION("""COMPUTED_VALUE"""),"Not Answered")</f>
        <v>Not Answered</v>
      </c>
      <c r="AB8" s="5" t="str">
        <f>IFERROR(__xludf.DUMMYFUNCTION("""COMPUTED_VALUE"""),"Not Answered")</f>
        <v>Not Answered</v>
      </c>
      <c r="AC8" s="5" t="str">
        <f>IFERROR(__xludf.DUMMYFUNCTION("""COMPUTED_VALUE"""),"Not Answered")</f>
        <v>Not Answered</v>
      </c>
      <c r="AD8" s="5" t="str">
        <f>IFERROR(__xludf.DUMMYFUNCTION("""COMPUTED_VALUE"""),"Not Answered")</f>
        <v>Not Answered</v>
      </c>
      <c r="AE8" s="5" t="str">
        <f>IFERROR(__xludf.DUMMYFUNCTION("""COMPUTED_VALUE"""),"Not Answered")</f>
        <v>Not Answered</v>
      </c>
      <c r="AF8" s="5" t="str">
        <f>IFERROR(__xludf.DUMMYFUNCTION("""COMPUTED_VALUE"""),"Not Answered")</f>
        <v>Not Answered</v>
      </c>
      <c r="AG8" s="5" t="str">
        <f>IFERROR(__xludf.DUMMYFUNCTION("""COMPUTED_VALUE"""),"Svært fornøyd")</f>
        <v>Svært fornøyd</v>
      </c>
      <c r="AH8" s="5" t="str">
        <f>IFERROR(__xludf.DUMMYFUNCTION("""COMPUTED_VALUE"""),"Not Answered")</f>
        <v>Not Answered</v>
      </c>
      <c r="AI8" s="5" t="str">
        <f>IFERROR(__xludf.DUMMYFUNCTION("""COMPUTED_VALUE"""),"I stor grad")</f>
        <v>I stor grad</v>
      </c>
      <c r="AJ8" s="5" t="str">
        <f>IFERROR(__xludf.DUMMYFUNCTION("""COMPUTED_VALUE"""),"han er den på teamet med best kompetanse")</f>
        <v>han er den på teamet med best kompetanse</v>
      </c>
      <c r="AK8" s="5" t="str">
        <f>IFERROR(__xludf.DUMMYFUNCTION("""COMPUTED_VALUE"""),"Svært fornøyd")</f>
        <v>Svært fornøyd</v>
      </c>
      <c r="AL8" s="5" t="str">
        <f>IFERROR(__xludf.DUMMYFUNCTION("""COMPUTED_VALUE"""),"kjempefornøyd og håper å kunne få jobbe med ham veldig mye lengre!")</f>
        <v>kjempefornøyd og håper å kunne få jobbe med ham veldig mye lengre!</v>
      </c>
      <c r="AM8" s="5" t="str">
        <f>IFERROR(__xludf.DUMMYFUNCTION("""COMPUTED_VALUE"""),"Svært fornøyd")</f>
        <v>Svært fornøyd</v>
      </c>
      <c r="AN8" s="5" t="str">
        <f>IFERROR(__xludf.DUMMYFUNCTION("""COMPUTED_VALUE"""),"har likt alle konsulentene jeg har jobbet med og møtt fra JPro")</f>
        <v>har likt alle konsulentene jeg har jobbet med og møtt fra JPro</v>
      </c>
      <c r="AO8" s="5" t="str">
        <f>IFERROR(__xludf.DUMMYFUNCTION("""COMPUTED_VALUE"""),"Svært fornøyd")</f>
        <v>Svært fornøyd</v>
      </c>
      <c r="AP8" s="5" t="str">
        <f>IFERROR(__xludf.DUMMYFUNCTION("""COMPUTED_VALUE"""),"har ikke hatt veldig mye med dem direkte selv, bortsatt fra via Audun")</f>
        <v>har ikke hatt veldig mye med dem direkte selv, bortsatt fra via Audun</v>
      </c>
      <c r="AQ8" s="5" t="str">
        <f>IFERROR(__xludf.DUMMYFUNCTION("""COMPUTED_VALUE"""),"I stor grad")</f>
        <v>I stor grad</v>
      </c>
      <c r="AR8" s="5" t="str">
        <f>IFERROR(__xludf.DUMMYFUNCTION("""COMPUTED_VALUE"""),"akkurat nå er han den jeg trenger mest på teamet, og det er verd prisen")</f>
        <v>akkurat nå er han den jeg trenger mest på teamet, og det er verd prisen</v>
      </c>
      <c r="AS8" s="5" t="str">
        <f>IFERROR(__xludf.DUMMYFUNCTION("""COMPUTED_VALUE"""),"Not Answered")</f>
        <v>Not Answered</v>
      </c>
      <c r="AT8" s="11">
        <f t="shared" si="3"/>
        <v>45585.55681</v>
      </c>
      <c r="AU8" s="5" t="str">
        <f t="shared" si="4"/>
        <v>NRK</v>
      </c>
      <c r="AV8" s="5" t="str">
        <f>IFERROR(__xludf.DUMMYFUNCTION("if(ISNUMBER(A8),FILTER(N8:AF8,REGEXMATCH(N8:AF8, ""Not Answered"")=FALSE),)"),"Audun Småge")</f>
        <v>Audun Småge</v>
      </c>
      <c r="AW8" s="5" t="str">
        <f>if(ISNUMBER($C8), VLOOKUP(AV8, konsulenter!$A$1:$B99,2,false),)</f>
        <v>#N/A</v>
      </c>
      <c r="AX8" s="10">
        <f>if(ISNUMBER($C8), VLOOKUP(AG8, mapping!$A$2:$B99,2,false),)</f>
        <v>6</v>
      </c>
      <c r="AY8" s="10" t="str">
        <f t="shared" si="5"/>
        <v>-</v>
      </c>
      <c r="AZ8" s="10">
        <f>if(ISNUMBER($C8), VLOOKUP(AI8, mapping!$A$2:$B99,2,false),)</f>
        <v>6</v>
      </c>
      <c r="BA8" s="10" t="str">
        <f t="shared" si="6"/>
        <v>han er den på teamet med best kompetanse</v>
      </c>
      <c r="BB8" s="10">
        <f>if(ISNUMBER($C8), VLOOKUP(AK8, mapping!$A$2:$B99,2,false),)</f>
        <v>6</v>
      </c>
      <c r="BC8" s="10" t="str">
        <f t="shared" si="7"/>
        <v>kjempefornøyd og håper å kunne få jobbe med ham veldig mye lengre!</v>
      </c>
      <c r="BD8" s="10">
        <f>if(ISNUMBER($C8), VLOOKUP(AM8, mapping!$A$2:$B99,2,false),)</f>
        <v>6</v>
      </c>
      <c r="BE8" s="10" t="str">
        <f t="shared" si="8"/>
        <v>har likt alle konsulentene jeg har jobbet med og møtt fra JPro</v>
      </c>
      <c r="BF8" s="10">
        <f>if(ISNUMBER($C8), VLOOKUP(AO8, mapping!$A$2:$B99,2,false),)</f>
        <v>6</v>
      </c>
      <c r="BG8" s="10" t="str">
        <f t="shared" si="9"/>
        <v>har ikke hatt veldig mye med dem direkte selv, bortsatt fra via Audun</v>
      </c>
      <c r="BH8" s="10">
        <f>if(ISNUMBER($C8), VLOOKUP(AQ8, mapping!$A$2:$B99,2,false),)</f>
        <v>6</v>
      </c>
      <c r="BI8" s="10" t="str">
        <f t="shared" ref="BI8:BJ8" si="15">if(ISNUMBER($C8), IF(AR8="Not Answered","-",AR8),)</f>
        <v>akkurat nå er han den jeg trenger mest på teamet, og det er verd prisen</v>
      </c>
      <c r="BJ8" s="10" t="str">
        <f t="shared" si="15"/>
        <v>-</v>
      </c>
    </row>
    <row r="9">
      <c r="A9" s="5">
        <f>IFERROR(__xludf.DUMMYFUNCTION("""COMPUTED_VALUE"""),1.14718956197E11)</f>
        <v>114718956197</v>
      </c>
      <c r="B9" s="11">
        <f>IFERROR(__xludf.DUMMYFUNCTION("""COMPUTED_VALUE"""),45588.56618055556)</f>
        <v>45588.56618</v>
      </c>
      <c r="C9" s="11">
        <f>IFERROR(__xludf.DUMMYFUNCTION("""COMPUTED_VALUE"""),45588.57142361111)</f>
        <v>45588.57142</v>
      </c>
      <c r="D9" s="5" t="str">
        <f>IFERROR(__xludf.DUMMYFUNCTION("""COMPUTED_VALUE"""),"81.166.197.7")</f>
        <v>81.166.197.7</v>
      </c>
      <c r="E9" s="5">
        <f>IFERROR(__xludf.DUMMYFUNCTION("""COMPUTED_VALUE"""),453.0)</f>
        <v>453</v>
      </c>
      <c r="F9" s="5" t="str">
        <f>IFERROR(__xludf.DUMMYFUNCTION("""COMPUTED_VALUE"""),"completed")</f>
        <v>completed</v>
      </c>
      <c r="G9" s="5" t="str">
        <f>IFERROR(__xludf.DUMMYFUNCTION("""COMPUTED_VALUE"""),"Not Answered")</f>
        <v>Not Answered</v>
      </c>
      <c r="H9" s="5" t="str">
        <f>IFERROR(__xludf.DUMMYFUNCTION("""COMPUTED_VALUE"""),"Not Answered")</f>
        <v>Not Answered</v>
      </c>
      <c r="I9" s="5" t="str">
        <f>IFERROR(__xludf.DUMMYFUNCTION("""COMPUTED_VALUE"""),"Not Answered")</f>
        <v>Not Answered</v>
      </c>
      <c r="J9" s="5">
        <f>IFERROR(__xludf.DUMMYFUNCTION("""COMPUTED_VALUE"""),4.33188881E8)</f>
        <v>433188881</v>
      </c>
      <c r="K9" s="5" t="str">
        <f>IFERROR(__xludf.DUMMYFUNCTION("""COMPUTED_VALUE"""),"weblink")</f>
        <v>weblink</v>
      </c>
      <c r="L9" s="5" t="str">
        <f>IFERROR(__xludf.DUMMYFUNCTION("""COMPUTED_VALUE"""),"Not Answered")</f>
        <v>Not Answered</v>
      </c>
      <c r="M9" s="5" t="str">
        <f>IFERROR(__xludf.DUMMYFUNCTION("""COMPUTED_VALUE"""),"Aker Solutions")</f>
        <v>Aker Solutions</v>
      </c>
      <c r="N9" s="5" t="str">
        <f>IFERROR(__xludf.DUMMYFUNCTION("""COMPUTED_VALUE"""),"Not Answered")</f>
        <v>Not Answered</v>
      </c>
      <c r="O9" s="5" t="str">
        <f>IFERROR(__xludf.DUMMYFUNCTION("""COMPUTED_VALUE"""),"Not Answered")</f>
        <v>Not Answered</v>
      </c>
      <c r="P9" s="5" t="str">
        <f>IFERROR(__xludf.DUMMYFUNCTION("""COMPUTED_VALUE"""),"Not Answered")</f>
        <v>Not Answered</v>
      </c>
      <c r="Q9" s="5" t="str">
        <f>IFERROR(__xludf.DUMMYFUNCTION("""COMPUTED_VALUE"""),"Not Answered")</f>
        <v>Not Answered</v>
      </c>
      <c r="R9" s="5" t="str">
        <f>IFERROR(__xludf.DUMMYFUNCTION("""COMPUTED_VALUE"""),"Not Answered")</f>
        <v>Not Answered</v>
      </c>
      <c r="S9" s="5" t="str">
        <f>IFERROR(__xludf.DUMMYFUNCTION("""COMPUTED_VALUE"""),"Not Answered")</f>
        <v>Not Answered</v>
      </c>
      <c r="T9" s="5" t="str">
        <f>IFERROR(__xludf.DUMMYFUNCTION("""COMPUTED_VALUE"""),"Not Answered")</f>
        <v>Not Answered</v>
      </c>
      <c r="U9" s="5" t="str">
        <f>IFERROR(__xludf.DUMMYFUNCTION("""COMPUTED_VALUE"""),"Not Answered")</f>
        <v>Not Answered</v>
      </c>
      <c r="V9" s="5" t="str">
        <f>IFERROR(__xludf.DUMMYFUNCTION("""COMPUTED_VALUE"""),"Not Answered")</f>
        <v>Not Answered</v>
      </c>
      <c r="W9" s="5" t="str">
        <f>IFERROR(__xludf.DUMMYFUNCTION("""COMPUTED_VALUE"""),"Not Answered")</f>
        <v>Not Answered</v>
      </c>
      <c r="X9" s="5" t="str">
        <f>IFERROR(__xludf.DUMMYFUNCTION("""COMPUTED_VALUE"""),"Not Answered")</f>
        <v>Not Answered</v>
      </c>
      <c r="Y9" s="5" t="str">
        <f>IFERROR(__xludf.DUMMYFUNCTION("""COMPUTED_VALUE"""),"Michael Karén")</f>
        <v>Michael Karén</v>
      </c>
      <c r="Z9" s="5" t="str">
        <f>IFERROR(__xludf.DUMMYFUNCTION("""COMPUTED_VALUE"""),"Not Answered")</f>
        <v>Not Answered</v>
      </c>
      <c r="AA9" s="5" t="str">
        <f>IFERROR(__xludf.DUMMYFUNCTION("""COMPUTED_VALUE"""),"Not Answered")</f>
        <v>Not Answered</v>
      </c>
      <c r="AB9" s="5" t="str">
        <f>IFERROR(__xludf.DUMMYFUNCTION("""COMPUTED_VALUE"""),"Not Answered")</f>
        <v>Not Answered</v>
      </c>
      <c r="AC9" s="5" t="str">
        <f>IFERROR(__xludf.DUMMYFUNCTION("""COMPUTED_VALUE"""),"Not Answered")</f>
        <v>Not Answered</v>
      </c>
      <c r="AD9" s="5" t="str">
        <f>IFERROR(__xludf.DUMMYFUNCTION("""COMPUTED_VALUE"""),"Not Answered")</f>
        <v>Not Answered</v>
      </c>
      <c r="AE9" s="5" t="str">
        <f>IFERROR(__xludf.DUMMYFUNCTION("""COMPUTED_VALUE"""),"Not Answered")</f>
        <v>Not Answered</v>
      </c>
      <c r="AF9" s="5" t="str">
        <f>IFERROR(__xludf.DUMMYFUNCTION("""COMPUTED_VALUE"""),"Not Answered")</f>
        <v>Not Answered</v>
      </c>
      <c r="AG9" s="5" t="str">
        <f>IFERROR(__xludf.DUMMYFUNCTION("""COMPUTED_VALUE"""),"Svært fornøyd")</f>
        <v>Svært fornøyd</v>
      </c>
      <c r="AH9" s="5" t="str">
        <f>IFERROR(__xludf.DUMMYFUNCTION("""COMPUTED_VALUE"""),"Veldig godt fornøyd med Michael's innsats.
Han tar ansvar og bidrar aktivt med gode innspill, i motsetning til å 'bare gjøre som han får beskjed om'.")</f>
        <v>Veldig godt fornøyd med Michael's innsats.
Han tar ansvar og bidrar aktivt med gode innspill, i motsetning til å 'bare gjøre som han får beskjed om'.</v>
      </c>
      <c r="AI9" s="5" t="str">
        <f>IFERROR(__xludf.DUMMYFUNCTION("""COMPUTED_VALUE"""),"I stor grad")</f>
        <v>I stor grad</v>
      </c>
      <c r="AJ9" s="5" t="str">
        <f>IFERROR(__xludf.DUMMYFUNCTION("""COMPUTED_VALUE"""),"Savner ingenting")</f>
        <v>Savner ingenting</v>
      </c>
      <c r="AK9" s="5" t="str">
        <f>IFERROR(__xludf.DUMMYFUNCTION("""COMPUTED_VALUE"""),"Svært fornøyd")</f>
        <v>Svært fornøyd</v>
      </c>
      <c r="AL9" s="5" t="str">
        <f>IFERROR(__xludf.DUMMYFUNCTION("""COMPUTED_VALUE"""),"Vanskelig å kommentere direkte da jeg ikke er utvikler selv, men mitt inntrykk er at FE teamet jobber godt sammen")</f>
        <v>Vanskelig å kommentere direkte da jeg ikke er utvikler selv, men mitt inntrykk er at FE teamet jobber godt sammen</v>
      </c>
      <c r="AM9" s="5" t="str">
        <f>IFERROR(__xludf.DUMMYFUNCTION("""COMPUTED_VALUE"""),"Svært fornøyd")</f>
        <v>Svært fornøyd</v>
      </c>
      <c r="AN9" s="5" t="str">
        <f>IFERROR(__xludf.DUMMYFUNCTION("""COMPUTED_VALUE"""),"Fungerer veldig bra.")</f>
        <v>Fungerer veldig bra.</v>
      </c>
      <c r="AO9" s="5" t="str">
        <f>IFERROR(__xludf.DUMMYFUNCTION("""COMPUTED_VALUE"""),"Not Answered")</f>
        <v>Not Answered</v>
      </c>
      <c r="AP9" s="5" t="str">
        <f>IFERROR(__xludf.DUMMYFUNCTION("""COMPUTED_VALUE"""),"Not Answered")</f>
        <v>Not Answered</v>
      </c>
      <c r="AQ9" s="5" t="str">
        <f>IFERROR(__xludf.DUMMYFUNCTION("""COMPUTED_VALUE"""),"5 - star")</f>
        <v>5 - star</v>
      </c>
      <c r="AR9" s="5" t="str">
        <f>IFERROR(__xludf.DUMMYFUNCTION("""COMPUTED_VALUE"""),"Har ikke innsyn i kostnader")</f>
        <v>Har ikke innsyn i kostnader</v>
      </c>
      <c r="AS9" s="5" t="str">
        <f>IFERROR(__xludf.DUMMYFUNCTION("""COMPUTED_VALUE"""),"Ingenting konkret.")</f>
        <v>Ingenting konkret.</v>
      </c>
      <c r="AT9" s="11">
        <f t="shared" si="3"/>
        <v>45588.56618</v>
      </c>
      <c r="AU9" s="5" t="str">
        <f t="shared" si="4"/>
        <v>Aker Solutions</v>
      </c>
      <c r="AV9" s="5" t="str">
        <f>IFERROR(__xludf.DUMMYFUNCTION("if(ISNUMBER(A9),FILTER(N9:AF9,REGEXMATCH(N9:AF9, ""Not Answered"")=FALSE),)"),"Michael Karén")</f>
        <v>Michael Karén</v>
      </c>
      <c r="AW9" s="5" t="str">
        <f>if(ISNUMBER($C9), VLOOKUP(AV9, konsulenter!$A$1:$B99,2,false),)</f>
        <v>#N/A</v>
      </c>
      <c r="AX9" s="10">
        <f>if(ISNUMBER($C9), VLOOKUP(AG9, mapping!$A$2:$B99,2,false),)</f>
        <v>6</v>
      </c>
      <c r="AY9" s="10" t="str">
        <f t="shared" si="5"/>
        <v>Veldig godt fornøyd med Michael's innsats.
Han tar ansvar og bidrar aktivt med gode innspill, i motsetning til å 'bare gjøre som han får beskjed om'.</v>
      </c>
      <c r="AZ9" s="10">
        <f>if(ISNUMBER($C9), VLOOKUP(AI9, mapping!$A$2:$B99,2,false),)</f>
        <v>6</v>
      </c>
      <c r="BA9" s="10" t="str">
        <f t="shared" si="6"/>
        <v>Savner ingenting</v>
      </c>
      <c r="BB9" s="10">
        <f>if(ISNUMBER($C9), VLOOKUP(AK9, mapping!$A$2:$B99,2,false),)</f>
        <v>6</v>
      </c>
      <c r="BC9" s="10" t="str">
        <f t="shared" si="7"/>
        <v>Vanskelig å kommentere direkte da jeg ikke er utvikler selv, men mitt inntrykk er at FE teamet jobber godt sammen</v>
      </c>
      <c r="BD9" s="10">
        <f>if(ISNUMBER($C9), VLOOKUP(AM9, mapping!$A$2:$B99,2,false),)</f>
        <v>6</v>
      </c>
      <c r="BE9" s="10" t="str">
        <f t="shared" si="8"/>
        <v>Fungerer veldig bra.</v>
      </c>
      <c r="BF9" s="10" t="str">
        <f>if(ISNUMBER($C9), VLOOKUP(AO9, mapping!$A$2:$B99,2,false),)</f>
        <v/>
      </c>
      <c r="BG9" s="10" t="str">
        <f t="shared" si="9"/>
        <v>-</v>
      </c>
      <c r="BH9" s="10">
        <f>if(ISNUMBER($C9), VLOOKUP(AQ9, mapping!$A$2:$B99,2,false),)</f>
        <v>5</v>
      </c>
      <c r="BI9" s="10" t="str">
        <f t="shared" ref="BI9:BJ9" si="16">if(ISNUMBER($C9), IF(AR9="Not Answered","-",AR9),)</f>
        <v>Har ikke innsyn i kostnader</v>
      </c>
      <c r="BJ9" s="10" t="str">
        <f t="shared" si="16"/>
        <v>Ingenting konkret.</v>
      </c>
    </row>
    <row r="10">
      <c r="A10" s="5">
        <f>IFERROR(__xludf.DUMMYFUNCTION("""COMPUTED_VALUE"""),1.14719061196E11)</f>
        <v>114719061196</v>
      </c>
      <c r="B10" s="11">
        <f>IFERROR(__xludf.DUMMYFUNCTION("""COMPUTED_VALUE"""),45588.657546296294)</f>
        <v>45588.65755</v>
      </c>
      <c r="C10" s="11">
        <f>IFERROR(__xludf.DUMMYFUNCTION("""COMPUTED_VALUE"""),45588.664259259254)</f>
        <v>45588.66426</v>
      </c>
      <c r="D10" s="5" t="str">
        <f>IFERROR(__xludf.DUMMYFUNCTION("""COMPUTED_VALUE"""),"195.18.187.143")</f>
        <v>195.18.187.143</v>
      </c>
      <c r="E10" s="5">
        <f>IFERROR(__xludf.DUMMYFUNCTION("""COMPUTED_VALUE"""),580.0)</f>
        <v>580</v>
      </c>
      <c r="F10" s="5" t="str">
        <f>IFERROR(__xludf.DUMMYFUNCTION("""COMPUTED_VALUE"""),"completed")</f>
        <v>completed</v>
      </c>
      <c r="G10" s="5" t="str">
        <f>IFERROR(__xludf.DUMMYFUNCTION("""COMPUTED_VALUE"""),"Not Answered")</f>
        <v>Not Answered</v>
      </c>
      <c r="H10" s="5" t="str">
        <f>IFERROR(__xludf.DUMMYFUNCTION("""COMPUTED_VALUE"""),"Not Answered")</f>
        <v>Not Answered</v>
      </c>
      <c r="I10" s="5" t="str">
        <f>IFERROR(__xludf.DUMMYFUNCTION("""COMPUTED_VALUE"""),"Not Answered")</f>
        <v>Not Answered</v>
      </c>
      <c r="J10" s="5">
        <f>IFERROR(__xludf.DUMMYFUNCTION("""COMPUTED_VALUE"""),4.33188881E8)</f>
        <v>433188881</v>
      </c>
      <c r="K10" s="5" t="str">
        <f>IFERROR(__xludf.DUMMYFUNCTION("""COMPUTED_VALUE"""),"weblink")</f>
        <v>weblink</v>
      </c>
      <c r="L10" s="5" t="str">
        <f>IFERROR(__xludf.DUMMYFUNCTION("""COMPUTED_VALUE"""),"Not Answered")</f>
        <v>Not Answered</v>
      </c>
      <c r="M10" s="5" t="str">
        <f>IFERROR(__xludf.DUMMYFUNCTION("""COMPUTED_VALUE"""),"Statnett")</f>
        <v>Statnett</v>
      </c>
      <c r="N10" s="5" t="str">
        <f>IFERROR(__xludf.DUMMYFUNCTION("""COMPUTED_VALUE"""),"Not Answered")</f>
        <v>Not Answered</v>
      </c>
      <c r="O10" s="5" t="str">
        <f>IFERROR(__xludf.DUMMYFUNCTION("""COMPUTED_VALUE"""),"Frode Roxrud Gill")</f>
        <v>Frode Roxrud Gill</v>
      </c>
      <c r="P10" s="5" t="str">
        <f>IFERROR(__xludf.DUMMYFUNCTION("""COMPUTED_VALUE"""),"Not Answered")</f>
        <v>Not Answered</v>
      </c>
      <c r="Q10" s="5" t="str">
        <f>IFERROR(__xludf.DUMMYFUNCTION("""COMPUTED_VALUE"""),"Not Answered")</f>
        <v>Not Answered</v>
      </c>
      <c r="R10" s="5" t="str">
        <f>IFERROR(__xludf.DUMMYFUNCTION("""COMPUTED_VALUE"""),"Not Answered")</f>
        <v>Not Answered</v>
      </c>
      <c r="S10" s="5" t="str">
        <f>IFERROR(__xludf.DUMMYFUNCTION("""COMPUTED_VALUE"""),"Not Answered")</f>
        <v>Not Answered</v>
      </c>
      <c r="T10" s="5" t="str">
        <f>IFERROR(__xludf.DUMMYFUNCTION("""COMPUTED_VALUE"""),"Not Answered")</f>
        <v>Not Answered</v>
      </c>
      <c r="U10" s="5" t="str">
        <f>IFERROR(__xludf.DUMMYFUNCTION("""COMPUTED_VALUE"""),"Not Answered")</f>
        <v>Not Answered</v>
      </c>
      <c r="V10" s="5" t="str">
        <f>IFERROR(__xludf.DUMMYFUNCTION("""COMPUTED_VALUE"""),"Not Answered")</f>
        <v>Not Answered</v>
      </c>
      <c r="W10" s="5" t="str">
        <f>IFERROR(__xludf.DUMMYFUNCTION("""COMPUTED_VALUE"""),"Not Answered")</f>
        <v>Not Answered</v>
      </c>
      <c r="X10" s="5" t="str">
        <f>IFERROR(__xludf.DUMMYFUNCTION("""COMPUTED_VALUE"""),"Not Answered")</f>
        <v>Not Answered</v>
      </c>
      <c r="Y10" s="5" t="str">
        <f>IFERROR(__xludf.DUMMYFUNCTION("""COMPUTED_VALUE"""),"Not Answered")</f>
        <v>Not Answered</v>
      </c>
      <c r="Z10" s="5" t="str">
        <f>IFERROR(__xludf.DUMMYFUNCTION("""COMPUTED_VALUE"""),"Not Answered")</f>
        <v>Not Answered</v>
      </c>
      <c r="AA10" s="5" t="str">
        <f>IFERROR(__xludf.DUMMYFUNCTION("""COMPUTED_VALUE"""),"Not Answered")</f>
        <v>Not Answered</v>
      </c>
      <c r="AB10" s="5" t="str">
        <f>IFERROR(__xludf.DUMMYFUNCTION("""COMPUTED_VALUE"""),"Not Answered")</f>
        <v>Not Answered</v>
      </c>
      <c r="AC10" s="5" t="str">
        <f>IFERROR(__xludf.DUMMYFUNCTION("""COMPUTED_VALUE"""),"Not Answered")</f>
        <v>Not Answered</v>
      </c>
      <c r="AD10" s="5" t="str">
        <f>IFERROR(__xludf.DUMMYFUNCTION("""COMPUTED_VALUE"""),"Not Answered")</f>
        <v>Not Answered</v>
      </c>
      <c r="AE10" s="5" t="str">
        <f>IFERROR(__xludf.DUMMYFUNCTION("""COMPUTED_VALUE"""),"Not Answered")</f>
        <v>Not Answered</v>
      </c>
      <c r="AF10" s="5" t="str">
        <f>IFERROR(__xludf.DUMMYFUNCTION("""COMPUTED_VALUE"""),"Not Answered")</f>
        <v>Not Answered</v>
      </c>
      <c r="AG10" s="5" t="str">
        <f>IFERROR(__xludf.DUMMYFUNCTION("""COMPUTED_VALUE"""),"Ganske fornøyd")</f>
        <v>Ganske fornøyd</v>
      </c>
      <c r="AH10" s="5" t="str">
        <f>IFERROR(__xludf.DUMMYFUNCTION("""COMPUTED_VALUE"""),"Not Answered")</f>
        <v>Not Answered</v>
      </c>
      <c r="AI10" s="5" t="str">
        <f>IFERROR(__xludf.DUMMYFUNCTION("""COMPUTED_VALUE"""),"4 - star")</f>
        <v>4 - star</v>
      </c>
      <c r="AJ10" s="5" t="str">
        <f>IFERROR(__xludf.DUMMYFUNCTION("""COMPUTED_VALUE"""),"Måtte friske opp litt, lære seg noe nytt - men dette har gått bra og vi er fornøyde i dag.")</f>
        <v>Måtte friske opp litt, lære seg noe nytt - men dette har gått bra og vi er fornøyde i dag.</v>
      </c>
      <c r="AK10" s="5" t="str">
        <f>IFERROR(__xludf.DUMMYFUNCTION("""COMPUTED_VALUE"""),"Litt fornøyd")</f>
        <v>Litt fornøyd</v>
      </c>
      <c r="AL10" s="5" t="str">
        <f>IFERROR(__xludf.DUMMYFUNCTION("""COMPUTED_VALUE"""),"Har ikke hatt mulighet til å gjøre dette foreløpig, men kommer nå inn i e større team og vil kunne vise seg frem. Burde hatt en mulighet til å svare ikke aktuelt ;)")</f>
        <v>Har ikke hatt mulighet til å gjøre dette foreløpig, men kommer nå inn i e større team og vil kunne vise seg frem. Burde hatt en mulighet til å svare ikke aktuelt ;)</v>
      </c>
      <c r="AM10" s="5" t="str">
        <f>IFERROR(__xludf.DUMMYFUNCTION("""COMPUTED_VALUE"""),"Svært fornøyd")</f>
        <v>Svært fornøyd</v>
      </c>
      <c r="AN10" s="5" t="str">
        <f>IFERROR(__xludf.DUMMYFUNCTION("""COMPUTED_VALUE"""),"Not Answered")</f>
        <v>Not Answered</v>
      </c>
      <c r="AO10" s="5" t="str">
        <f>IFERROR(__xludf.DUMMYFUNCTION("""COMPUTED_VALUE"""),"Ganske fornøyd")</f>
        <v>Ganske fornøyd</v>
      </c>
      <c r="AP10" s="5" t="str">
        <f>IFERROR(__xludf.DUMMYFUNCTION("""COMPUTED_VALUE"""),"Fornøyd med erstatning og prosessen rundt dette (var smidig).")</f>
        <v>Fornøyd med erstatning og prosessen rundt dette (var smidig).</v>
      </c>
      <c r="AQ10" s="5" t="str">
        <f>IFERROR(__xludf.DUMMYFUNCTION("""COMPUTED_VALUE"""),"4 - star")</f>
        <v>4 - star</v>
      </c>
      <c r="AR10" s="5" t="str">
        <f>IFERROR(__xludf.DUMMYFUNCTION("""COMPUTED_VALUE"""),"Vi leide inn en med litt annen kompetanse og konsulenten som nå bekler oppdraget har smalere kompetanse. Derfor er ikke forholdet mellom pris og leveranse like godt som det var opprinnelig.")</f>
        <v>Vi leide inn en med litt annen kompetanse og konsulenten som nå bekler oppdraget har smalere kompetanse. Derfor er ikke forholdet mellom pris og leveranse like godt som det var opprinnelig.</v>
      </c>
      <c r="AS10" s="5" t="str">
        <f>IFERROR(__xludf.DUMMYFUNCTION("""COMPUTED_VALUE"""),"Not Answered")</f>
        <v>Not Answered</v>
      </c>
      <c r="AT10" s="11">
        <f t="shared" si="3"/>
        <v>45588.65755</v>
      </c>
      <c r="AU10" s="5" t="str">
        <f t="shared" si="4"/>
        <v>Statnett</v>
      </c>
      <c r="AV10" s="5" t="str">
        <f>IFERROR(__xludf.DUMMYFUNCTION("if(ISNUMBER(A10),FILTER(N10:AF10,REGEXMATCH(N10:AF10, ""Not Answered"")=FALSE),)"),"Frode Roxrud Gill")</f>
        <v>Frode Roxrud Gill</v>
      </c>
      <c r="AW10" s="5" t="str">
        <f>if(ISNUMBER($C10), VLOOKUP(AV10, konsulenter!$A$1:$B99,2,false),)</f>
        <v>#N/A</v>
      </c>
      <c r="AX10" s="10">
        <f>if(ISNUMBER($C10), VLOOKUP(AG10, mapping!$A$2:$B99,2,false),)</f>
        <v>5</v>
      </c>
      <c r="AY10" s="10" t="str">
        <f t="shared" si="5"/>
        <v>-</v>
      </c>
      <c r="AZ10" s="10">
        <f>if(ISNUMBER($C10), VLOOKUP(AI10, mapping!$A$2:$B99,2,false),)</f>
        <v>4</v>
      </c>
      <c r="BA10" s="10" t="str">
        <f t="shared" si="6"/>
        <v>Måtte friske opp litt, lære seg noe nytt - men dette har gått bra og vi er fornøyde i dag.</v>
      </c>
      <c r="BB10" s="10">
        <f>if(ISNUMBER($C10), VLOOKUP(AK10, mapping!$A$2:$B99,2,false),)</f>
        <v>4</v>
      </c>
      <c r="BC10" s="10" t="str">
        <f t="shared" si="7"/>
        <v>Har ikke hatt mulighet til å gjøre dette foreløpig, men kommer nå inn i e større team og vil kunne vise seg frem. Burde hatt en mulighet til å svare ikke aktuelt ;)</v>
      </c>
      <c r="BD10" s="10">
        <f>if(ISNUMBER($C10), VLOOKUP(AM10, mapping!$A$2:$B99,2,false),)</f>
        <v>6</v>
      </c>
      <c r="BE10" s="10" t="str">
        <f t="shared" si="8"/>
        <v>-</v>
      </c>
      <c r="BF10" s="10">
        <f>if(ISNUMBER($C10), VLOOKUP(AO10, mapping!$A$2:$B99,2,false),)</f>
        <v>5</v>
      </c>
      <c r="BG10" s="10" t="str">
        <f t="shared" si="9"/>
        <v>Fornøyd med erstatning og prosessen rundt dette (var smidig).</v>
      </c>
      <c r="BH10" s="10">
        <f>if(ISNUMBER($C10), VLOOKUP(AQ10, mapping!$A$2:$B99,2,false),)</f>
        <v>4</v>
      </c>
      <c r="BI10" s="10" t="str">
        <f t="shared" ref="BI10:BJ10" si="17">if(ISNUMBER($C10), IF(AR10="Not Answered","-",AR10),)</f>
        <v>Vi leide inn en med litt annen kompetanse og konsulenten som nå bekler oppdraget har smalere kompetanse. Derfor er ikke forholdet mellom pris og leveranse like godt som det var opprinnelig.</v>
      </c>
      <c r="BJ10" s="10" t="str">
        <f t="shared" si="17"/>
        <v>-</v>
      </c>
    </row>
    <row r="11">
      <c r="A11" s="5">
        <f>IFERROR(__xludf.DUMMYFUNCTION("""COMPUTED_VALUE"""),1.14722224011E11)</f>
        <v>114722224011</v>
      </c>
      <c r="B11" s="11">
        <f>IFERROR(__xludf.DUMMYFUNCTION("""COMPUTED_VALUE"""),45593.417245370365)</f>
        <v>45593.41725</v>
      </c>
      <c r="C11" s="11">
        <f>IFERROR(__xludf.DUMMYFUNCTION("""COMPUTED_VALUE"""),45593.41813657407)</f>
        <v>45593.41814</v>
      </c>
      <c r="D11" s="5" t="str">
        <f>IFERROR(__xludf.DUMMYFUNCTION("""COMPUTED_VALUE"""),"31.45.108.25")</f>
        <v>31.45.108.25</v>
      </c>
      <c r="E11" s="5">
        <f>IFERROR(__xludf.DUMMYFUNCTION("""COMPUTED_VALUE"""),76.0)</f>
        <v>76</v>
      </c>
      <c r="F11" s="5" t="str">
        <f>IFERROR(__xludf.DUMMYFUNCTION("""COMPUTED_VALUE"""),"completed")</f>
        <v>completed</v>
      </c>
      <c r="G11" s="5" t="str">
        <f>IFERROR(__xludf.DUMMYFUNCTION("""COMPUTED_VALUE"""),"Not Answered")</f>
        <v>Not Answered</v>
      </c>
      <c r="H11" s="5" t="str">
        <f>IFERROR(__xludf.DUMMYFUNCTION("""COMPUTED_VALUE"""),"Not Answered")</f>
        <v>Not Answered</v>
      </c>
      <c r="I11" s="5" t="str">
        <f>IFERROR(__xludf.DUMMYFUNCTION("""COMPUTED_VALUE"""),"Not Answered")</f>
        <v>Not Answered</v>
      </c>
      <c r="J11" s="5">
        <f>IFERROR(__xludf.DUMMYFUNCTION("""COMPUTED_VALUE"""),4.33188881E8)</f>
        <v>433188881</v>
      </c>
      <c r="K11" s="5" t="str">
        <f>IFERROR(__xludf.DUMMYFUNCTION("""COMPUTED_VALUE"""),"weblink")</f>
        <v>weblink</v>
      </c>
      <c r="L11" s="5" t="str">
        <f>IFERROR(__xludf.DUMMYFUNCTION("""COMPUTED_VALUE"""),"Not Answered")</f>
        <v>Not Answered</v>
      </c>
      <c r="M11" s="5" t="str">
        <f>IFERROR(__xludf.DUMMYFUNCTION("""COMPUTED_VALUE"""),"Ruter/TET Digital")</f>
        <v>Ruter/TET Digital</v>
      </c>
      <c r="N11" s="5" t="str">
        <f>IFERROR(__xludf.DUMMYFUNCTION("""COMPUTED_VALUE"""),"Not Answered")</f>
        <v>Not Answered</v>
      </c>
      <c r="O11" s="5" t="str">
        <f>IFERROR(__xludf.DUMMYFUNCTION("""COMPUTED_VALUE"""),"Not Answered")</f>
        <v>Not Answered</v>
      </c>
      <c r="P11" s="5" t="str">
        <f>IFERROR(__xludf.DUMMYFUNCTION("""COMPUTED_VALUE"""),"Not Answered")</f>
        <v>Not Answered</v>
      </c>
      <c r="Q11" s="5" t="str">
        <f>IFERROR(__xludf.DUMMYFUNCTION("""COMPUTED_VALUE"""),"Not Answered")</f>
        <v>Not Answered</v>
      </c>
      <c r="R11" s="5" t="str">
        <f>IFERROR(__xludf.DUMMYFUNCTION("""COMPUTED_VALUE"""),"Greger Hemb")</f>
        <v>Greger Hemb</v>
      </c>
      <c r="S11" s="5" t="str">
        <f>IFERROR(__xludf.DUMMYFUNCTION("""COMPUTED_VALUE"""),"Not Answered")</f>
        <v>Not Answered</v>
      </c>
      <c r="T11" s="5" t="str">
        <f>IFERROR(__xludf.DUMMYFUNCTION("""COMPUTED_VALUE"""),"Not Answered")</f>
        <v>Not Answered</v>
      </c>
      <c r="U11" s="5" t="str">
        <f>IFERROR(__xludf.DUMMYFUNCTION("""COMPUTED_VALUE"""),"Not Answered")</f>
        <v>Not Answered</v>
      </c>
      <c r="V11" s="5" t="str">
        <f>IFERROR(__xludf.DUMMYFUNCTION("""COMPUTED_VALUE"""),"Not Answered")</f>
        <v>Not Answered</v>
      </c>
      <c r="W11" s="5" t="str">
        <f>IFERROR(__xludf.DUMMYFUNCTION("""COMPUTED_VALUE"""),"Not Answered")</f>
        <v>Not Answered</v>
      </c>
      <c r="X11" s="5" t="str">
        <f>IFERROR(__xludf.DUMMYFUNCTION("""COMPUTED_VALUE"""),"Not Answered")</f>
        <v>Not Answered</v>
      </c>
      <c r="Y11" s="5" t="str">
        <f>IFERROR(__xludf.DUMMYFUNCTION("""COMPUTED_VALUE"""),"Not Answered")</f>
        <v>Not Answered</v>
      </c>
      <c r="Z11" s="5" t="str">
        <f>IFERROR(__xludf.DUMMYFUNCTION("""COMPUTED_VALUE"""),"Not Answered")</f>
        <v>Not Answered</v>
      </c>
      <c r="AA11" s="5" t="str">
        <f>IFERROR(__xludf.DUMMYFUNCTION("""COMPUTED_VALUE"""),"Not Answered")</f>
        <v>Not Answered</v>
      </c>
      <c r="AB11" s="5" t="str">
        <f>IFERROR(__xludf.DUMMYFUNCTION("""COMPUTED_VALUE"""),"Not Answered")</f>
        <v>Not Answered</v>
      </c>
      <c r="AC11" s="5" t="str">
        <f>IFERROR(__xludf.DUMMYFUNCTION("""COMPUTED_VALUE"""),"Not Answered")</f>
        <v>Not Answered</v>
      </c>
      <c r="AD11" s="5" t="str">
        <f>IFERROR(__xludf.DUMMYFUNCTION("""COMPUTED_VALUE"""),"Not Answered")</f>
        <v>Not Answered</v>
      </c>
      <c r="AE11" s="5" t="str">
        <f>IFERROR(__xludf.DUMMYFUNCTION("""COMPUTED_VALUE"""),"Not Answered")</f>
        <v>Not Answered</v>
      </c>
      <c r="AF11" s="5" t="str">
        <f>IFERROR(__xludf.DUMMYFUNCTION("""COMPUTED_VALUE"""),"Not Answered")</f>
        <v>Not Answered</v>
      </c>
      <c r="AG11" s="5" t="str">
        <f>IFERROR(__xludf.DUMMYFUNCTION("""COMPUTED_VALUE"""),"Ganske fornøyd")</f>
        <v>Ganske fornøyd</v>
      </c>
      <c r="AH11" s="5" t="str">
        <f>IFERROR(__xludf.DUMMYFUNCTION("""COMPUTED_VALUE"""),"Not Answered")</f>
        <v>Not Answered</v>
      </c>
      <c r="AI11" s="5" t="str">
        <f>IFERROR(__xludf.DUMMYFUNCTION("""COMPUTED_VALUE"""),"I stor grad")</f>
        <v>I stor grad</v>
      </c>
      <c r="AJ11" s="5" t="str">
        <f>IFERROR(__xludf.DUMMYFUNCTION("""COMPUTED_VALUE"""),"Not Answered")</f>
        <v>Not Answered</v>
      </c>
      <c r="AK11" s="5" t="str">
        <f>IFERROR(__xludf.DUMMYFUNCTION("""COMPUTED_VALUE"""),"Svært fornøyd")</f>
        <v>Svært fornøyd</v>
      </c>
      <c r="AL11" s="5" t="str">
        <f>IFERROR(__xludf.DUMMYFUNCTION("""COMPUTED_VALUE"""),"Not Answered")</f>
        <v>Not Answered</v>
      </c>
      <c r="AM11" s="5" t="str">
        <f>IFERROR(__xludf.DUMMYFUNCTION("""COMPUTED_VALUE"""),"Ganske fornøyd")</f>
        <v>Ganske fornøyd</v>
      </c>
      <c r="AN11" s="5" t="str">
        <f>IFERROR(__xludf.DUMMYFUNCTION("""COMPUTED_VALUE"""),"Not Answered")</f>
        <v>Not Answered</v>
      </c>
      <c r="AO11" s="5" t="str">
        <f>IFERROR(__xludf.DUMMYFUNCTION("""COMPUTED_VALUE"""),"Ganske fornøyd")</f>
        <v>Ganske fornøyd</v>
      </c>
      <c r="AP11" s="5" t="str">
        <f>IFERROR(__xludf.DUMMYFUNCTION("""COMPUTED_VALUE"""),"Not Answered")</f>
        <v>Not Answered</v>
      </c>
      <c r="AQ11" s="5" t="str">
        <f>IFERROR(__xludf.DUMMYFUNCTION("""COMPUTED_VALUE"""),"I stor grad")</f>
        <v>I stor grad</v>
      </c>
      <c r="AR11" s="5" t="str">
        <f>IFERROR(__xludf.DUMMYFUNCTION("""COMPUTED_VALUE"""),"Not Answered")</f>
        <v>Not Answered</v>
      </c>
      <c r="AS11" s="5" t="str">
        <f>IFERROR(__xludf.DUMMYFUNCTION("""COMPUTED_VALUE"""),"Not Answered")</f>
        <v>Not Answered</v>
      </c>
      <c r="AT11" s="11">
        <f t="shared" si="3"/>
        <v>45593.41725</v>
      </c>
      <c r="AU11" s="5" t="str">
        <f t="shared" si="4"/>
        <v>Ruter/TET Digital</v>
      </c>
      <c r="AV11" s="5" t="str">
        <f>IFERROR(__xludf.DUMMYFUNCTION("if(ISNUMBER(A11),FILTER(N11:AF11,REGEXMATCH(N11:AF11, ""Not Answered"")=FALSE),)"),"Greger Hemb")</f>
        <v>Greger Hemb</v>
      </c>
      <c r="AW11" s="5" t="str">
        <f>if(ISNUMBER($C11), VLOOKUP(AV11, konsulenter!$A$1:$B99,2,false),)</f>
        <v>#N/A</v>
      </c>
      <c r="AX11" s="10">
        <f>if(ISNUMBER($C11), VLOOKUP(AG11, mapping!$A$2:$B99,2,false),)</f>
        <v>5</v>
      </c>
      <c r="AY11" s="10" t="str">
        <f t="shared" si="5"/>
        <v>-</v>
      </c>
      <c r="AZ11" s="10">
        <f>if(ISNUMBER($C11), VLOOKUP(AI11, mapping!$A$2:$B99,2,false),)</f>
        <v>6</v>
      </c>
      <c r="BA11" s="10" t="str">
        <f t="shared" si="6"/>
        <v>-</v>
      </c>
      <c r="BB11" s="10">
        <f>if(ISNUMBER($C11), VLOOKUP(AK11, mapping!$A$2:$B99,2,false),)</f>
        <v>6</v>
      </c>
      <c r="BC11" s="10" t="str">
        <f t="shared" si="7"/>
        <v>-</v>
      </c>
      <c r="BD11" s="10">
        <f>if(ISNUMBER($C11), VLOOKUP(AM11, mapping!$A$2:$B99,2,false),)</f>
        <v>5</v>
      </c>
      <c r="BE11" s="10" t="str">
        <f t="shared" si="8"/>
        <v>-</v>
      </c>
      <c r="BF11" s="10">
        <f>if(ISNUMBER($C11), VLOOKUP(AO11, mapping!$A$2:$B99,2,false),)</f>
        <v>5</v>
      </c>
      <c r="BG11" s="10" t="str">
        <f t="shared" si="9"/>
        <v>-</v>
      </c>
      <c r="BH11" s="10">
        <f>if(ISNUMBER($C11), VLOOKUP(AQ11, mapping!$A$2:$B99,2,false),)</f>
        <v>6</v>
      </c>
      <c r="BI11" s="10" t="str">
        <f t="shared" ref="BI11:BJ11" si="18">if(ISNUMBER($C11), IF(AR11="Not Answered","-",AR11),)</f>
        <v>-</v>
      </c>
      <c r="BJ11" s="10" t="str">
        <f t="shared" si="18"/>
        <v>-</v>
      </c>
    </row>
    <row r="12">
      <c r="A12" s="5">
        <f>IFERROR(__xludf.DUMMYFUNCTION("""COMPUTED_VALUE"""),1.14723478912E11)</f>
        <v>114723478912</v>
      </c>
      <c r="B12" s="11">
        <f>IFERROR(__xludf.DUMMYFUNCTION("""COMPUTED_VALUE"""),45594.68372685185)</f>
        <v>45594.68373</v>
      </c>
      <c r="C12" s="11">
        <f>IFERROR(__xludf.DUMMYFUNCTION("""COMPUTED_VALUE"""),45594.69131944445)</f>
        <v>45594.69132</v>
      </c>
      <c r="D12" s="5" t="str">
        <f>IFERROR(__xludf.DUMMYFUNCTION("""COMPUTED_VALUE"""),"155.55.51.187")</f>
        <v>155.55.51.187</v>
      </c>
      <c r="E12" s="5">
        <f>IFERROR(__xludf.DUMMYFUNCTION("""COMPUTED_VALUE"""),655.0)</f>
        <v>655</v>
      </c>
      <c r="F12" s="5" t="str">
        <f>IFERROR(__xludf.DUMMYFUNCTION("""COMPUTED_VALUE"""),"completed")</f>
        <v>completed</v>
      </c>
      <c r="G12" s="5" t="str">
        <f>IFERROR(__xludf.DUMMYFUNCTION("""COMPUTED_VALUE"""),"Not Answered")</f>
        <v>Not Answered</v>
      </c>
      <c r="H12" s="5" t="str">
        <f>IFERROR(__xludf.DUMMYFUNCTION("""COMPUTED_VALUE"""),"Not Answered")</f>
        <v>Not Answered</v>
      </c>
      <c r="I12" s="5" t="str">
        <f>IFERROR(__xludf.DUMMYFUNCTION("""COMPUTED_VALUE"""),"Not Answered")</f>
        <v>Not Answered</v>
      </c>
      <c r="J12" s="5">
        <f>IFERROR(__xludf.DUMMYFUNCTION("""COMPUTED_VALUE"""),4.33188881E8)</f>
        <v>433188881</v>
      </c>
      <c r="K12" s="5" t="str">
        <f>IFERROR(__xludf.DUMMYFUNCTION("""COMPUTED_VALUE"""),"weblink")</f>
        <v>weblink</v>
      </c>
      <c r="L12" s="5" t="str">
        <f>IFERROR(__xludf.DUMMYFUNCTION("""COMPUTED_VALUE"""),"Not Answered")</f>
        <v>Not Answered</v>
      </c>
      <c r="M12" s="5" t="str">
        <f>IFERROR(__xludf.DUMMYFUNCTION("""COMPUTED_VALUE"""),"NAV")</f>
        <v>NAV</v>
      </c>
      <c r="N12" s="5" t="str">
        <f>IFERROR(__xludf.DUMMYFUNCTION("""COMPUTED_VALUE"""),"Not Answered")</f>
        <v>Not Answered</v>
      </c>
      <c r="O12" s="5" t="str">
        <f>IFERROR(__xludf.DUMMYFUNCTION("""COMPUTED_VALUE"""),"Not Answered")</f>
        <v>Not Answered</v>
      </c>
      <c r="P12" s="5" t="str">
        <f>IFERROR(__xludf.DUMMYFUNCTION("""COMPUTED_VALUE"""),"Not Answered")</f>
        <v>Not Answered</v>
      </c>
      <c r="Q12" s="5" t="str">
        <f>IFERROR(__xludf.DUMMYFUNCTION("""COMPUTED_VALUE"""),"Not Answered")</f>
        <v>Not Answered</v>
      </c>
      <c r="R12" s="5" t="str">
        <f>IFERROR(__xludf.DUMMYFUNCTION("""COMPUTED_VALUE"""),"Not Answered")</f>
        <v>Not Answered</v>
      </c>
      <c r="S12" s="5" t="str">
        <f>IFERROR(__xludf.DUMMYFUNCTION("""COMPUTED_VALUE"""),"Not Answered")</f>
        <v>Not Answered</v>
      </c>
      <c r="T12" s="5" t="str">
        <f>IFERROR(__xludf.DUMMYFUNCTION("""COMPUTED_VALUE"""),"Not Answered")</f>
        <v>Not Answered</v>
      </c>
      <c r="U12" s="5" t="str">
        <f>IFERROR(__xludf.DUMMYFUNCTION("""COMPUTED_VALUE"""),"Not Answered")</f>
        <v>Not Answered</v>
      </c>
      <c r="V12" s="5" t="str">
        <f>IFERROR(__xludf.DUMMYFUNCTION("""COMPUTED_VALUE"""),"Not Answered")</f>
        <v>Not Answered</v>
      </c>
      <c r="W12" s="5" t="str">
        <f>IFERROR(__xludf.DUMMYFUNCTION("""COMPUTED_VALUE"""),"Not Answered")</f>
        <v>Not Answered</v>
      </c>
      <c r="X12" s="5" t="str">
        <f>IFERROR(__xludf.DUMMYFUNCTION("""COMPUTED_VALUE"""),"Not Answered")</f>
        <v>Not Answered</v>
      </c>
      <c r="Y12" s="5" t="str">
        <f>IFERROR(__xludf.DUMMYFUNCTION("""COMPUTED_VALUE"""),"Not Answered")</f>
        <v>Not Answered</v>
      </c>
      <c r="Z12" s="5" t="str">
        <f>IFERROR(__xludf.DUMMYFUNCTION("""COMPUTED_VALUE"""),"Not Answered")</f>
        <v>Not Answered</v>
      </c>
      <c r="AA12" s="5" t="str">
        <f>IFERROR(__xludf.DUMMYFUNCTION("""COMPUTED_VALUE"""),"Not Answered")</f>
        <v>Not Answered</v>
      </c>
      <c r="AB12" s="5" t="str">
        <f>IFERROR(__xludf.DUMMYFUNCTION("""COMPUTED_VALUE"""),"Not Answered")</f>
        <v>Not Answered</v>
      </c>
      <c r="AC12" s="5" t="str">
        <f>IFERROR(__xludf.DUMMYFUNCTION("""COMPUTED_VALUE"""),"Not Answered")</f>
        <v>Not Answered</v>
      </c>
      <c r="AD12" s="5" t="str">
        <f>IFERROR(__xludf.DUMMYFUNCTION("""COMPUTED_VALUE"""),"Not Answered")</f>
        <v>Not Answered</v>
      </c>
      <c r="AE12" s="5" t="str">
        <f>IFERROR(__xludf.DUMMYFUNCTION("""COMPUTED_VALUE"""),"Joar Aurdal")</f>
        <v>Joar Aurdal</v>
      </c>
      <c r="AF12" s="5" t="str">
        <f>IFERROR(__xludf.DUMMYFUNCTION("""COMPUTED_VALUE"""),"Not Answered")</f>
        <v>Not Answered</v>
      </c>
      <c r="AG12" s="5" t="str">
        <f>IFERROR(__xludf.DUMMYFUNCTION("""COMPUTED_VALUE"""),"Svært fornøyd")</f>
        <v>Svært fornøyd</v>
      </c>
      <c r="AH12" s="5" t="str">
        <f>IFERROR(__xludf.DUMMYFUNCTION("""COMPUTED_VALUE"""),"Joar er svært dyktig senior utvikler. Blant annet er han alltid å regne med når ting er svært krevende. Det er mange positive egenskaper å trekke frem. Blant annet bidrar med psykologisk trygghet for teamet. Er god på å gi estimater på svært komplekse tin"&amp;"g som kan ta måneder å bygge, når tid for å angi estimat er kort og med stort press på å gi de estimatene. ")</f>
        <v>Joar er svært dyktig senior utvikler. Blant annet er han alltid å regne med når ting er svært krevende. Det er mange positive egenskaper å trekke frem. Blant annet bidrar med psykologisk trygghet for teamet. Er god på å gi estimater på svært komplekse ting som kan ta måneder å bygge, når tid for å angi estimat er kort og med stort press på å gi de estimatene. </v>
      </c>
      <c r="AI12" s="5" t="str">
        <f>IFERROR(__xludf.DUMMYFUNCTION("""COMPUTED_VALUE"""),"I stor grad")</f>
        <v>I stor grad</v>
      </c>
      <c r="AJ12" s="5" t="str">
        <f>IFERROR(__xludf.DUMMYFUNCTION("""COMPUTED_VALUE"""),"Jeg kan ikke si at det er noe konkret kompetanser som jeg savner. Joar tilegner seg kompetanse i det tverrfaglige teamet som vi er, så det går bra. ")</f>
        <v>Jeg kan ikke si at det er noe konkret kompetanser som jeg savner. Joar tilegner seg kompetanse i det tverrfaglige teamet som vi er, så det går bra. </v>
      </c>
      <c r="AK12" s="5" t="str">
        <f>IFERROR(__xludf.DUMMYFUNCTION("""COMPUTED_VALUE"""),"Svært fornøyd")</f>
        <v>Svært fornøyd</v>
      </c>
      <c r="AL12" s="5" t="str">
        <f>IFERROR(__xludf.DUMMYFUNCTION("""COMPUTED_VALUE"""),"Kompetansedeling for Joar er bra! Inkluderende og tar ansvar og har gode evner til det. ")</f>
        <v>Kompetansedeling for Joar er bra! Inkluderende og tar ansvar og har gode evner til det. </v>
      </c>
      <c r="AM12" s="5" t="str">
        <f>IFERROR(__xludf.DUMMYFUNCTION("""COMPUTED_VALUE"""),"Svært fornøyd")</f>
        <v>Svært fornøyd</v>
      </c>
      <c r="AN12" s="5" t="str">
        <f>IFERROR(__xludf.DUMMYFUNCTION("""COMPUTED_VALUE"""),"Har ingen ting å sette fingeren på. Det er veldig bra. ")</f>
        <v>Har ingen ting å sette fingeren på. Det er veldig bra. </v>
      </c>
      <c r="AO12" s="5" t="str">
        <f>IFERROR(__xludf.DUMMYFUNCTION("""COMPUTED_VALUE"""),"Not Answered")</f>
        <v>Not Answered</v>
      </c>
      <c r="AP12" s="5" t="str">
        <f>IFERROR(__xludf.DUMMYFUNCTION("""COMPUTED_VALUE"""),"Jeg har ikke noe oppfølging derfra. Andre i organisasjonen har helt sikkert det, vil jeg tro. ")</f>
        <v>Jeg har ikke noe oppfølging derfra. Andre i organisasjonen har helt sikkert det, vil jeg tro. </v>
      </c>
      <c r="AQ12" s="5" t="str">
        <f>IFERROR(__xludf.DUMMYFUNCTION("""COMPUTED_VALUE"""),"3 - star")</f>
        <v>3 - star</v>
      </c>
      <c r="AR12" s="5" t="str">
        <f>IFERROR(__xludf.DUMMYFUNCTION("""COMPUTED_VALUE"""),"Jeg kjenner ikke til kostnaden. Jeg er produktleder og har ikke noe personalansvar sånn sett, blant annet så forholder jeg meg ikke til lønnskostnader. ")</f>
        <v>Jeg kjenner ikke til kostnaden. Jeg er produktleder og har ikke noe personalansvar sånn sett, blant annet så forholder jeg meg ikke til lønnskostnader. </v>
      </c>
      <c r="AS12" s="5" t="str">
        <f>IFERROR(__xludf.DUMMYFUNCTION("""COMPUTED_VALUE"""),"Nei. ")</f>
        <v>Nei. </v>
      </c>
      <c r="AT12" s="11">
        <f t="shared" si="3"/>
        <v>45594.68373</v>
      </c>
      <c r="AU12" s="5" t="str">
        <f t="shared" si="4"/>
        <v>NAV</v>
      </c>
      <c r="AV12" s="5" t="str">
        <f>IFERROR(__xludf.DUMMYFUNCTION("if(ISNUMBER(A12),FILTER(N12:AF12,REGEXMATCH(N12:AF12, ""Not Answered"")=FALSE),)"),"Joar Aurdal")</f>
        <v>Joar Aurdal</v>
      </c>
      <c r="AW12" s="5" t="str">
        <f>if(ISNUMBER($C12), VLOOKUP(AV12, konsulenter!$A$1:$B99,2,false),)</f>
        <v>#N/A</v>
      </c>
      <c r="AX12" s="10">
        <f>if(ISNUMBER($C12), VLOOKUP(AG12, mapping!$A$2:$B99,2,false),)</f>
        <v>6</v>
      </c>
      <c r="AY12" s="10" t="str">
        <f t="shared" si="5"/>
        <v>Joar er svært dyktig senior utvikler. Blant annet er han alltid å regne med når ting er svært krevende. Det er mange positive egenskaper å trekke frem. Blant annet bidrar med psykologisk trygghet for teamet. Er god på å gi estimater på svært komplekse ting som kan ta måneder å bygge, når tid for å angi estimat er kort og med stort press på å gi de estimatene. </v>
      </c>
      <c r="AZ12" s="10">
        <f>if(ISNUMBER($C12), VLOOKUP(AI12, mapping!$A$2:$B99,2,false),)</f>
        <v>6</v>
      </c>
      <c r="BA12" s="10" t="str">
        <f t="shared" si="6"/>
        <v>Jeg kan ikke si at det er noe konkret kompetanser som jeg savner. Joar tilegner seg kompetanse i det tverrfaglige teamet som vi er, så det går bra. </v>
      </c>
      <c r="BB12" s="10">
        <f>if(ISNUMBER($C12), VLOOKUP(AK12, mapping!$A$2:$B99,2,false),)</f>
        <v>6</v>
      </c>
      <c r="BC12" s="10" t="str">
        <f t="shared" si="7"/>
        <v>Kompetansedeling for Joar er bra! Inkluderende og tar ansvar og har gode evner til det. </v>
      </c>
      <c r="BD12" s="10">
        <f>if(ISNUMBER($C12), VLOOKUP(AM12, mapping!$A$2:$B99,2,false),)</f>
        <v>6</v>
      </c>
      <c r="BE12" s="10" t="str">
        <f t="shared" si="8"/>
        <v>Har ingen ting å sette fingeren på. Det er veldig bra. </v>
      </c>
      <c r="BF12" s="10" t="str">
        <f>if(ISNUMBER($C12), VLOOKUP(AO12, mapping!$A$2:$B99,2,false),)</f>
        <v/>
      </c>
      <c r="BG12" s="10" t="str">
        <f t="shared" si="9"/>
        <v>Jeg har ikke noe oppfølging derfra. Andre i organisasjonen har helt sikkert det, vil jeg tro. </v>
      </c>
      <c r="BH12" s="10">
        <f>if(ISNUMBER($C12), VLOOKUP(AQ12, mapping!$A$2:$B99,2,false),)</f>
        <v>3</v>
      </c>
      <c r="BI12" s="10" t="str">
        <f t="shared" ref="BI12:BJ12" si="19">if(ISNUMBER($C12), IF(AR12="Not Answered","-",AR12),)</f>
        <v>Jeg kjenner ikke til kostnaden. Jeg er produktleder og har ikke noe personalansvar sånn sett, blant annet så forholder jeg meg ikke til lønnskostnader. </v>
      </c>
      <c r="BJ12" s="10" t="str">
        <f t="shared" si="19"/>
        <v>Nei. </v>
      </c>
    </row>
    <row r="13">
      <c r="A13" s="5">
        <f>IFERROR(__xludf.DUMMYFUNCTION("""COMPUTED_VALUE"""),1.14726086951E11)</f>
        <v>114726086951</v>
      </c>
      <c r="B13" s="11">
        <f>IFERROR(__xludf.DUMMYFUNCTION("""COMPUTED_VALUE"""),45597.45511574074)</f>
        <v>45597.45512</v>
      </c>
      <c r="C13" s="11">
        <f>IFERROR(__xludf.DUMMYFUNCTION("""COMPUTED_VALUE"""),45597.45734953704)</f>
        <v>45597.45735</v>
      </c>
      <c r="D13" s="5" t="str">
        <f>IFERROR(__xludf.DUMMYFUNCTION("""COMPUTED_VALUE"""),"80.203.100.46")</f>
        <v>80.203.100.46</v>
      </c>
      <c r="E13" s="5">
        <f>IFERROR(__xludf.DUMMYFUNCTION("""COMPUTED_VALUE"""),192.0)</f>
        <v>192</v>
      </c>
      <c r="F13" s="5" t="str">
        <f>IFERROR(__xludf.DUMMYFUNCTION("""COMPUTED_VALUE"""),"completed")</f>
        <v>completed</v>
      </c>
      <c r="G13" s="5" t="str">
        <f>IFERROR(__xludf.DUMMYFUNCTION("""COMPUTED_VALUE"""),"Not Answered")</f>
        <v>Not Answered</v>
      </c>
      <c r="H13" s="5" t="str">
        <f>IFERROR(__xludf.DUMMYFUNCTION("""COMPUTED_VALUE"""),"Not Answered")</f>
        <v>Not Answered</v>
      </c>
      <c r="I13" s="5" t="str">
        <f>IFERROR(__xludf.DUMMYFUNCTION("""COMPUTED_VALUE"""),"Not Answered")</f>
        <v>Not Answered</v>
      </c>
      <c r="J13" s="5">
        <f>IFERROR(__xludf.DUMMYFUNCTION("""COMPUTED_VALUE"""),4.33188881E8)</f>
        <v>433188881</v>
      </c>
      <c r="K13" s="5" t="str">
        <f>IFERROR(__xludf.DUMMYFUNCTION("""COMPUTED_VALUE"""),"weblink")</f>
        <v>weblink</v>
      </c>
      <c r="L13" s="5" t="str">
        <f>IFERROR(__xludf.DUMMYFUNCTION("""COMPUTED_VALUE"""),"Not Answered")</f>
        <v>Not Answered</v>
      </c>
      <c r="M13" s="5" t="str">
        <f>IFERROR(__xludf.DUMMYFUNCTION("""COMPUTED_VALUE"""),"NAV")</f>
        <v>NAV</v>
      </c>
      <c r="N13" s="5" t="str">
        <f>IFERROR(__xludf.DUMMYFUNCTION("""COMPUTED_VALUE"""),"Not Answered")</f>
        <v>Not Answered</v>
      </c>
      <c r="O13" s="5" t="str">
        <f>IFERROR(__xludf.DUMMYFUNCTION("""COMPUTED_VALUE"""),"Not Answered")</f>
        <v>Not Answered</v>
      </c>
      <c r="P13" s="5" t="str">
        <f>IFERROR(__xludf.DUMMYFUNCTION("""COMPUTED_VALUE"""),"Not Answered")</f>
        <v>Not Answered</v>
      </c>
      <c r="Q13" s="5" t="str">
        <f>IFERROR(__xludf.DUMMYFUNCTION("""COMPUTED_VALUE"""),"Not Answered")</f>
        <v>Not Answered</v>
      </c>
      <c r="R13" s="5" t="str">
        <f>IFERROR(__xludf.DUMMYFUNCTION("""COMPUTED_VALUE"""),"Not Answered")</f>
        <v>Not Answered</v>
      </c>
      <c r="S13" s="5" t="str">
        <f>IFERROR(__xludf.DUMMYFUNCTION("""COMPUTED_VALUE"""),"Not Answered")</f>
        <v>Not Answered</v>
      </c>
      <c r="T13" s="5" t="str">
        <f>IFERROR(__xludf.DUMMYFUNCTION("""COMPUTED_VALUE"""),"Not Answered")</f>
        <v>Not Answered</v>
      </c>
      <c r="U13" s="5" t="str">
        <f>IFERROR(__xludf.DUMMYFUNCTION("""COMPUTED_VALUE"""),"Not Answered")</f>
        <v>Not Answered</v>
      </c>
      <c r="V13" s="5" t="str">
        <f>IFERROR(__xludf.DUMMYFUNCTION("""COMPUTED_VALUE"""),"Not Answered")</f>
        <v>Not Answered</v>
      </c>
      <c r="W13" s="5" t="str">
        <f>IFERROR(__xludf.DUMMYFUNCTION("""COMPUTED_VALUE"""),"Not Answered")</f>
        <v>Not Answered</v>
      </c>
      <c r="X13" s="5" t="str">
        <f>IFERROR(__xludf.DUMMYFUNCTION("""COMPUTED_VALUE"""),"Not Answered")</f>
        <v>Not Answered</v>
      </c>
      <c r="Y13" s="5" t="str">
        <f>IFERROR(__xludf.DUMMYFUNCTION("""COMPUTED_VALUE"""),"Not Answered")</f>
        <v>Not Answered</v>
      </c>
      <c r="Z13" s="5" t="str">
        <f>IFERROR(__xludf.DUMMYFUNCTION("""COMPUTED_VALUE"""),"Not Answered")</f>
        <v>Not Answered</v>
      </c>
      <c r="AA13" s="5" t="str">
        <f>IFERROR(__xludf.DUMMYFUNCTION("""COMPUTED_VALUE"""),"Not Answered")</f>
        <v>Not Answered</v>
      </c>
      <c r="AB13" s="5" t="str">
        <f>IFERROR(__xludf.DUMMYFUNCTION("""COMPUTED_VALUE"""),"Not Answered")</f>
        <v>Not Answered</v>
      </c>
      <c r="AC13" s="5" t="str">
        <f>IFERROR(__xludf.DUMMYFUNCTION("""COMPUTED_VALUE"""),"Not Answered")</f>
        <v>Not Answered</v>
      </c>
      <c r="AD13" s="5" t="str">
        <f>IFERROR(__xludf.DUMMYFUNCTION("""COMPUTED_VALUE"""),"Not Answered")</f>
        <v>Not Answered</v>
      </c>
      <c r="AE13" s="5" t="str">
        <f>IFERROR(__xludf.DUMMYFUNCTION("""COMPUTED_VALUE"""),"Håvard Andersen")</f>
        <v>Håvard Andersen</v>
      </c>
      <c r="AF13" s="5" t="str">
        <f>IFERROR(__xludf.DUMMYFUNCTION("""COMPUTED_VALUE"""),"Not Answered")</f>
        <v>Not Answered</v>
      </c>
      <c r="AG13" s="5" t="str">
        <f>IFERROR(__xludf.DUMMYFUNCTION("""COMPUTED_VALUE"""),"Svært fornøyd")</f>
        <v>Svært fornøyd</v>
      </c>
      <c r="AH13" s="5" t="str">
        <f>IFERROR(__xludf.DUMMYFUNCTION("""COMPUTED_VALUE"""),"Not Answered")</f>
        <v>Not Answered</v>
      </c>
      <c r="AI13" s="5" t="str">
        <f>IFERROR(__xludf.DUMMYFUNCTION("""COMPUTED_VALUE"""),"I stor grad")</f>
        <v>I stor grad</v>
      </c>
      <c r="AJ13" s="5" t="str">
        <f>IFERROR(__xludf.DUMMYFUNCTION("""COMPUTED_VALUE"""),"Not Answered")</f>
        <v>Not Answered</v>
      </c>
      <c r="AK13" s="5" t="str">
        <f>IFERROR(__xludf.DUMMYFUNCTION("""COMPUTED_VALUE"""),"Svært fornøyd")</f>
        <v>Svært fornøyd</v>
      </c>
      <c r="AL13" s="5" t="str">
        <f>IFERROR(__xludf.DUMMYFUNCTION("""COMPUTED_VALUE"""),"Not Answered")</f>
        <v>Not Answered</v>
      </c>
      <c r="AM13" s="5" t="str">
        <f>IFERROR(__xludf.DUMMYFUNCTION("""COMPUTED_VALUE"""),"Svært fornøyd")</f>
        <v>Svært fornøyd</v>
      </c>
      <c r="AN13" s="5" t="str">
        <f>IFERROR(__xludf.DUMMYFUNCTION("""COMPUTED_VALUE"""),"Not Answered")</f>
        <v>Not Answered</v>
      </c>
      <c r="AO13" s="5" t="str">
        <f>IFERROR(__xludf.DUMMYFUNCTION("""COMPUTED_VALUE"""),"Litt misfornøyd")</f>
        <v>Litt misfornøyd</v>
      </c>
      <c r="AP13" s="5" t="str">
        <f>IFERROR(__xludf.DUMMYFUNCTION("""COMPUTED_VALUE"""),"Er veldig fornøyd med konsulenten, men hører lite fra JP bortsett fra når det bes om en evaluering av konsulenten. ")</f>
        <v>Er veldig fornøyd med konsulenten, men hører lite fra JP bortsett fra når det bes om en evaluering av konsulenten. </v>
      </c>
      <c r="AQ13" s="5" t="str">
        <f>IFERROR(__xludf.DUMMYFUNCTION("""COMPUTED_VALUE"""),"I stor grad")</f>
        <v>I stor grad</v>
      </c>
      <c r="AR13" s="5" t="str">
        <f>IFERROR(__xludf.DUMMYFUNCTION("""COMPUTED_VALUE"""),"Not Answered")</f>
        <v>Not Answered</v>
      </c>
      <c r="AS13" s="5" t="str">
        <f>IFERROR(__xludf.DUMMYFUNCTION("""COMPUTED_VALUE"""),"Not Answered")</f>
        <v>Not Answered</v>
      </c>
      <c r="AT13" s="11">
        <f t="shared" si="3"/>
        <v>45597.45512</v>
      </c>
      <c r="AU13" s="5" t="str">
        <f t="shared" si="4"/>
        <v>NAV</v>
      </c>
      <c r="AV13" s="5" t="str">
        <f>IFERROR(__xludf.DUMMYFUNCTION("if(ISNUMBER(A13),FILTER(N13:AF13,REGEXMATCH(N13:AF13, ""Not Answered"")=FALSE),)"),"Håvard Andersen")</f>
        <v>Håvard Andersen</v>
      </c>
      <c r="AW13" s="5" t="str">
        <f>if(ISNUMBER($C13), VLOOKUP(AV13, konsulenter!$A$1:$B99,2,false),)</f>
        <v>#N/A</v>
      </c>
      <c r="AX13" s="10">
        <f>if(ISNUMBER($C13), VLOOKUP(AG13, mapping!$A$2:$B99,2,false),)</f>
        <v>6</v>
      </c>
      <c r="AY13" s="10" t="str">
        <f t="shared" si="5"/>
        <v>-</v>
      </c>
      <c r="AZ13" s="10">
        <f>if(ISNUMBER($C13), VLOOKUP(AI13, mapping!$A$2:$B99,2,false),)</f>
        <v>6</v>
      </c>
      <c r="BA13" s="10" t="str">
        <f t="shared" si="6"/>
        <v>-</v>
      </c>
      <c r="BB13" s="10">
        <f>if(ISNUMBER($C13), VLOOKUP(AK13, mapping!$A$2:$B99,2,false),)</f>
        <v>6</v>
      </c>
      <c r="BC13" s="10" t="str">
        <f t="shared" si="7"/>
        <v>-</v>
      </c>
      <c r="BD13" s="10">
        <f>if(ISNUMBER($C13), VLOOKUP(AM13, mapping!$A$2:$B99,2,false),)</f>
        <v>6</v>
      </c>
      <c r="BE13" s="10" t="str">
        <f t="shared" si="8"/>
        <v>-</v>
      </c>
      <c r="BF13" s="10">
        <f>if(ISNUMBER($C13), VLOOKUP(AO13, mapping!$A$2:$B99,2,false),)</f>
        <v>3</v>
      </c>
      <c r="BG13" s="10" t="str">
        <f t="shared" si="9"/>
        <v>Er veldig fornøyd med konsulenten, men hører lite fra JP bortsett fra når det bes om en evaluering av konsulenten. </v>
      </c>
      <c r="BH13" s="10">
        <f>if(ISNUMBER($C13), VLOOKUP(AQ13, mapping!$A$2:$B99,2,false),)</f>
        <v>6</v>
      </c>
      <c r="BI13" s="10" t="str">
        <f t="shared" ref="BI13:BJ13" si="20">if(ISNUMBER($C13), IF(AR13="Not Answered","-",AR13),)</f>
        <v>-</v>
      </c>
      <c r="BJ13" s="10" t="str">
        <f t="shared" si="20"/>
        <v>-</v>
      </c>
    </row>
    <row r="14">
      <c r="A14" s="5">
        <f>IFERROR(__xludf.DUMMYFUNCTION("""COMPUTED_VALUE"""),1.14727744645E11)</f>
        <v>114727744645</v>
      </c>
      <c r="B14" s="11">
        <f>IFERROR(__xludf.DUMMYFUNCTION("""COMPUTED_VALUE"""),45600.39883101852)</f>
        <v>45600.39883</v>
      </c>
      <c r="C14" s="11">
        <f>IFERROR(__xludf.DUMMYFUNCTION("""COMPUTED_VALUE"""),45600.40399305556)</f>
        <v>45600.40399</v>
      </c>
      <c r="D14" s="5" t="str">
        <f>IFERROR(__xludf.DUMMYFUNCTION("""COMPUTED_VALUE"""),"77.16.212.108")</f>
        <v>77.16.212.108</v>
      </c>
      <c r="E14" s="5">
        <f>IFERROR(__xludf.DUMMYFUNCTION("""COMPUTED_VALUE"""),445.0)</f>
        <v>445</v>
      </c>
      <c r="F14" s="5" t="str">
        <f>IFERROR(__xludf.DUMMYFUNCTION("""COMPUTED_VALUE"""),"completed")</f>
        <v>completed</v>
      </c>
      <c r="G14" s="5" t="str">
        <f>IFERROR(__xludf.DUMMYFUNCTION("""COMPUTED_VALUE"""),"Not Answered")</f>
        <v>Not Answered</v>
      </c>
      <c r="H14" s="5" t="str">
        <f>IFERROR(__xludf.DUMMYFUNCTION("""COMPUTED_VALUE"""),"Not Answered")</f>
        <v>Not Answered</v>
      </c>
      <c r="I14" s="5" t="str">
        <f>IFERROR(__xludf.DUMMYFUNCTION("""COMPUTED_VALUE"""),"Not Answered")</f>
        <v>Not Answered</v>
      </c>
      <c r="J14" s="5">
        <f>IFERROR(__xludf.DUMMYFUNCTION("""COMPUTED_VALUE"""),4.33188881E8)</f>
        <v>433188881</v>
      </c>
      <c r="K14" s="5" t="str">
        <f>IFERROR(__xludf.DUMMYFUNCTION("""COMPUTED_VALUE"""),"weblink")</f>
        <v>weblink</v>
      </c>
      <c r="L14" s="5" t="str">
        <f>IFERROR(__xludf.DUMMYFUNCTION("""COMPUTED_VALUE"""),"Not Answered")</f>
        <v>Not Answered</v>
      </c>
      <c r="M14" s="5" t="str">
        <f>IFERROR(__xludf.DUMMYFUNCTION("""COMPUTED_VALUE"""),"Schibsted")</f>
        <v>Schibsted</v>
      </c>
      <c r="N14" s="5" t="str">
        <f>IFERROR(__xludf.DUMMYFUNCTION("""COMPUTED_VALUE"""),"Not Answered")</f>
        <v>Not Answered</v>
      </c>
      <c r="O14" s="5" t="str">
        <f>IFERROR(__xludf.DUMMYFUNCTION("""COMPUTED_VALUE"""),"Not Answered")</f>
        <v>Not Answered</v>
      </c>
      <c r="P14" s="5" t="str">
        <f>IFERROR(__xludf.DUMMYFUNCTION("""COMPUTED_VALUE"""),"Not Answered")</f>
        <v>Not Answered</v>
      </c>
      <c r="Q14" s="5" t="str">
        <f>IFERROR(__xludf.DUMMYFUNCTION("""COMPUTED_VALUE"""),"Runar Bell")</f>
        <v>Runar Bell</v>
      </c>
      <c r="R14" s="5" t="str">
        <f>IFERROR(__xludf.DUMMYFUNCTION("""COMPUTED_VALUE"""),"Not Answered")</f>
        <v>Not Answered</v>
      </c>
      <c r="S14" s="5" t="str">
        <f>IFERROR(__xludf.DUMMYFUNCTION("""COMPUTED_VALUE"""),"Not Answered")</f>
        <v>Not Answered</v>
      </c>
      <c r="T14" s="5" t="str">
        <f>IFERROR(__xludf.DUMMYFUNCTION("""COMPUTED_VALUE"""),"Not Answered")</f>
        <v>Not Answered</v>
      </c>
      <c r="U14" s="5" t="str">
        <f>IFERROR(__xludf.DUMMYFUNCTION("""COMPUTED_VALUE"""),"Not Answered")</f>
        <v>Not Answered</v>
      </c>
      <c r="V14" s="5" t="str">
        <f>IFERROR(__xludf.DUMMYFUNCTION("""COMPUTED_VALUE"""),"Not Answered")</f>
        <v>Not Answered</v>
      </c>
      <c r="W14" s="5" t="str">
        <f>IFERROR(__xludf.DUMMYFUNCTION("""COMPUTED_VALUE"""),"Not Answered")</f>
        <v>Not Answered</v>
      </c>
      <c r="X14" s="5" t="str">
        <f>IFERROR(__xludf.DUMMYFUNCTION("""COMPUTED_VALUE"""),"Not Answered")</f>
        <v>Not Answered</v>
      </c>
      <c r="Y14" s="5" t="str">
        <f>IFERROR(__xludf.DUMMYFUNCTION("""COMPUTED_VALUE"""),"Not Answered")</f>
        <v>Not Answered</v>
      </c>
      <c r="Z14" s="5" t="str">
        <f>IFERROR(__xludf.DUMMYFUNCTION("""COMPUTED_VALUE"""),"Not Answered")</f>
        <v>Not Answered</v>
      </c>
      <c r="AA14" s="5" t="str">
        <f>IFERROR(__xludf.DUMMYFUNCTION("""COMPUTED_VALUE"""),"Not Answered")</f>
        <v>Not Answered</v>
      </c>
      <c r="AB14" s="5" t="str">
        <f>IFERROR(__xludf.DUMMYFUNCTION("""COMPUTED_VALUE"""),"Not Answered")</f>
        <v>Not Answered</v>
      </c>
      <c r="AC14" s="5" t="str">
        <f>IFERROR(__xludf.DUMMYFUNCTION("""COMPUTED_VALUE"""),"Not Answered")</f>
        <v>Not Answered</v>
      </c>
      <c r="AD14" s="5" t="str">
        <f>IFERROR(__xludf.DUMMYFUNCTION("""COMPUTED_VALUE"""),"Not Answered")</f>
        <v>Not Answered</v>
      </c>
      <c r="AE14" s="5" t="str">
        <f>IFERROR(__xludf.DUMMYFUNCTION("""COMPUTED_VALUE"""),"Not Answered")</f>
        <v>Not Answered</v>
      </c>
      <c r="AF14" s="5" t="str">
        <f>IFERROR(__xludf.DUMMYFUNCTION("""COMPUTED_VALUE"""),"Not Answered")</f>
        <v>Not Answered</v>
      </c>
      <c r="AG14" s="5" t="str">
        <f>IFERROR(__xludf.DUMMYFUNCTION("""COMPUTED_VALUE"""),"Svært fornøyd")</f>
        <v>Svært fornøyd</v>
      </c>
      <c r="AH14" s="5" t="str">
        <f>IFERROR(__xludf.DUMMYFUNCTION("""COMPUTED_VALUE"""),"Runar har jobbet for oss lenge og har lang erfaring med våre systemer. Leverer alltid arbeid av høy kvalitet.")</f>
        <v>Runar har jobbet for oss lenge og har lang erfaring med våre systemer. Leverer alltid arbeid av høy kvalitet.</v>
      </c>
      <c r="AI14" s="5" t="str">
        <f>IFERROR(__xludf.DUMMYFUNCTION("""COMPUTED_VALUE"""),"I stor grad")</f>
        <v>I stor grad</v>
      </c>
      <c r="AJ14" s="5" t="str">
        <f>IFERROR(__xludf.DUMMYFUNCTION("""COMPUTED_VALUE"""),"Not Answered")</f>
        <v>Not Answered</v>
      </c>
      <c r="AK14" s="5" t="str">
        <f>IFERROR(__xludf.DUMMYFUNCTION("""COMPUTED_VALUE"""),"Svært fornøyd")</f>
        <v>Svært fornøyd</v>
      </c>
      <c r="AL14" s="5" t="str">
        <f>IFERROR(__xludf.DUMMYFUNCTION("""COMPUTED_VALUE"""),"Not Answered")</f>
        <v>Not Answered</v>
      </c>
      <c r="AM14" s="5" t="str">
        <f>IFERROR(__xludf.DUMMYFUNCTION("""COMPUTED_VALUE"""),"Svært fornøyd")</f>
        <v>Svært fornøyd</v>
      </c>
      <c r="AN14" s="5" t="str">
        <f>IFERROR(__xludf.DUMMYFUNCTION("""COMPUTED_VALUE"""),"Not Answered")</f>
        <v>Not Answered</v>
      </c>
      <c r="AO14" s="5" t="str">
        <f>IFERROR(__xludf.DUMMYFUNCTION("""COMPUTED_VALUE"""),"Svært fornøyd")</f>
        <v>Svært fornøyd</v>
      </c>
      <c r="AP14" s="5" t="str">
        <f>IFERROR(__xludf.DUMMYFUNCTION("""COMPUTED_VALUE"""),"Not Answered")</f>
        <v>Not Answered</v>
      </c>
      <c r="AQ14" s="5" t="str">
        <f>IFERROR(__xludf.DUMMYFUNCTION("""COMPUTED_VALUE"""),"5 - star")</f>
        <v>5 - star</v>
      </c>
      <c r="AR14" s="5" t="str">
        <f>IFERROR(__xludf.DUMMYFUNCTION("""COMPUTED_VALUE"""),"Not Answered")</f>
        <v>Not Answered</v>
      </c>
      <c r="AS14" s="5" t="str">
        <f>IFERROR(__xludf.DUMMYFUNCTION("""COMPUTED_VALUE"""),"Ikke for øyeblikket")</f>
        <v>Ikke for øyeblikket</v>
      </c>
      <c r="AT14" s="11">
        <f t="shared" si="3"/>
        <v>45600.39883</v>
      </c>
      <c r="AU14" s="5" t="str">
        <f t="shared" si="4"/>
        <v>Schibsted</v>
      </c>
      <c r="AV14" s="5" t="str">
        <f>IFERROR(__xludf.DUMMYFUNCTION("if(ISNUMBER(A14),FILTER(N14:AF14,REGEXMATCH(N14:AF14, ""Not Answered"")=FALSE),)"),"Runar Bell")</f>
        <v>Runar Bell</v>
      </c>
      <c r="AW14" s="5" t="str">
        <f>if(ISNUMBER($C14), VLOOKUP(AV14, konsulenter!$A$1:$B99,2,false),)</f>
        <v>#N/A</v>
      </c>
      <c r="AX14" s="10">
        <f>if(ISNUMBER($C14), VLOOKUP(AG14, mapping!$A$2:$B99,2,false),)</f>
        <v>6</v>
      </c>
      <c r="AY14" s="10" t="str">
        <f t="shared" si="5"/>
        <v>Runar har jobbet for oss lenge og har lang erfaring med våre systemer. Leverer alltid arbeid av høy kvalitet.</v>
      </c>
      <c r="AZ14" s="10">
        <f>if(ISNUMBER($C14), VLOOKUP(AI14, mapping!$A$2:$B99,2,false),)</f>
        <v>6</v>
      </c>
      <c r="BA14" s="10" t="str">
        <f t="shared" si="6"/>
        <v>-</v>
      </c>
      <c r="BB14" s="10">
        <f>if(ISNUMBER($C14), VLOOKUP(AK14, mapping!$A$2:$B99,2,false),)</f>
        <v>6</v>
      </c>
      <c r="BC14" s="10" t="str">
        <f t="shared" si="7"/>
        <v>-</v>
      </c>
      <c r="BD14" s="10">
        <f>if(ISNUMBER($C14), VLOOKUP(AM14, mapping!$A$2:$B99,2,false),)</f>
        <v>6</v>
      </c>
      <c r="BE14" s="10" t="str">
        <f t="shared" si="8"/>
        <v>-</v>
      </c>
      <c r="BF14" s="10">
        <f>if(ISNUMBER($C14), VLOOKUP(AO14, mapping!$A$2:$B99,2,false),)</f>
        <v>6</v>
      </c>
      <c r="BG14" s="10" t="str">
        <f t="shared" si="9"/>
        <v>-</v>
      </c>
      <c r="BH14" s="10">
        <f>if(ISNUMBER($C14), VLOOKUP(AQ14, mapping!$A$2:$B99,2,false),)</f>
        <v>5</v>
      </c>
      <c r="BI14" s="10" t="str">
        <f t="shared" ref="BI14:BJ14" si="21">if(ISNUMBER($C14), IF(AR14="Not Answered","-",AR14),)</f>
        <v>-</v>
      </c>
      <c r="BJ14" s="10" t="str">
        <f t="shared" si="21"/>
        <v>Ikke for øyeblikket</v>
      </c>
    </row>
    <row r="15">
      <c r="A15" s="5">
        <f>IFERROR(__xludf.DUMMYFUNCTION("""COMPUTED_VALUE"""),1.1472774862E11)</f>
        <v>114727748620</v>
      </c>
      <c r="B15" s="11">
        <f>IFERROR(__xludf.DUMMYFUNCTION("""COMPUTED_VALUE"""),45600.404340277775)</f>
        <v>45600.40434</v>
      </c>
      <c r="C15" s="11">
        <f>IFERROR(__xludf.DUMMYFUNCTION("""COMPUTED_VALUE"""),45600.40752314815)</f>
        <v>45600.40752</v>
      </c>
      <c r="D15" s="5" t="str">
        <f>IFERROR(__xludf.DUMMYFUNCTION("""COMPUTED_VALUE"""),"77.16.212.108")</f>
        <v>77.16.212.108</v>
      </c>
      <c r="E15" s="5">
        <f>IFERROR(__xludf.DUMMYFUNCTION("""COMPUTED_VALUE"""),274.0)</f>
        <v>274</v>
      </c>
      <c r="F15" s="5" t="str">
        <f>IFERROR(__xludf.DUMMYFUNCTION("""COMPUTED_VALUE"""),"completed")</f>
        <v>completed</v>
      </c>
      <c r="G15" s="5" t="str">
        <f>IFERROR(__xludf.DUMMYFUNCTION("""COMPUTED_VALUE"""),"Not Answered")</f>
        <v>Not Answered</v>
      </c>
      <c r="H15" s="5" t="str">
        <f>IFERROR(__xludf.DUMMYFUNCTION("""COMPUTED_VALUE"""),"Not Answered")</f>
        <v>Not Answered</v>
      </c>
      <c r="I15" s="5" t="str">
        <f>IFERROR(__xludf.DUMMYFUNCTION("""COMPUTED_VALUE"""),"Not Answered")</f>
        <v>Not Answered</v>
      </c>
      <c r="J15" s="5">
        <f>IFERROR(__xludf.DUMMYFUNCTION("""COMPUTED_VALUE"""),4.33188881E8)</f>
        <v>433188881</v>
      </c>
      <c r="K15" s="5" t="str">
        <f>IFERROR(__xludf.DUMMYFUNCTION("""COMPUTED_VALUE"""),"weblink")</f>
        <v>weblink</v>
      </c>
      <c r="L15" s="5" t="str">
        <f>IFERROR(__xludf.DUMMYFUNCTION("""COMPUTED_VALUE"""),"Not Answered")</f>
        <v>Not Answered</v>
      </c>
      <c r="M15" s="5" t="str">
        <f>IFERROR(__xludf.DUMMYFUNCTION("""COMPUTED_VALUE"""),"Schibsted")</f>
        <v>Schibsted</v>
      </c>
      <c r="N15" s="5" t="str">
        <f>IFERROR(__xludf.DUMMYFUNCTION("""COMPUTED_VALUE"""),"Not Answered")</f>
        <v>Not Answered</v>
      </c>
      <c r="O15" s="5" t="str">
        <f>IFERROR(__xludf.DUMMYFUNCTION("""COMPUTED_VALUE"""),"Not Answered")</f>
        <v>Not Answered</v>
      </c>
      <c r="P15" s="5" t="str">
        <f>IFERROR(__xludf.DUMMYFUNCTION("""COMPUTED_VALUE"""),"Not Answered")</f>
        <v>Not Answered</v>
      </c>
      <c r="Q15" s="5" t="str">
        <f>IFERROR(__xludf.DUMMYFUNCTION("""COMPUTED_VALUE"""),"Lars-Olof Moilanen")</f>
        <v>Lars-Olof Moilanen</v>
      </c>
      <c r="R15" s="5" t="str">
        <f>IFERROR(__xludf.DUMMYFUNCTION("""COMPUTED_VALUE"""),"Not Answered")</f>
        <v>Not Answered</v>
      </c>
      <c r="S15" s="5" t="str">
        <f>IFERROR(__xludf.DUMMYFUNCTION("""COMPUTED_VALUE"""),"Not Answered")</f>
        <v>Not Answered</v>
      </c>
      <c r="T15" s="5" t="str">
        <f>IFERROR(__xludf.DUMMYFUNCTION("""COMPUTED_VALUE"""),"Not Answered")</f>
        <v>Not Answered</v>
      </c>
      <c r="U15" s="5" t="str">
        <f>IFERROR(__xludf.DUMMYFUNCTION("""COMPUTED_VALUE"""),"Not Answered")</f>
        <v>Not Answered</v>
      </c>
      <c r="V15" s="5" t="str">
        <f>IFERROR(__xludf.DUMMYFUNCTION("""COMPUTED_VALUE"""),"Not Answered")</f>
        <v>Not Answered</v>
      </c>
      <c r="W15" s="5" t="str">
        <f>IFERROR(__xludf.DUMMYFUNCTION("""COMPUTED_VALUE"""),"Not Answered")</f>
        <v>Not Answered</v>
      </c>
      <c r="X15" s="5" t="str">
        <f>IFERROR(__xludf.DUMMYFUNCTION("""COMPUTED_VALUE"""),"Not Answered")</f>
        <v>Not Answered</v>
      </c>
      <c r="Y15" s="5" t="str">
        <f>IFERROR(__xludf.DUMMYFUNCTION("""COMPUTED_VALUE"""),"Not Answered")</f>
        <v>Not Answered</v>
      </c>
      <c r="Z15" s="5" t="str">
        <f>IFERROR(__xludf.DUMMYFUNCTION("""COMPUTED_VALUE"""),"Not Answered")</f>
        <v>Not Answered</v>
      </c>
      <c r="AA15" s="5" t="str">
        <f>IFERROR(__xludf.DUMMYFUNCTION("""COMPUTED_VALUE"""),"Not Answered")</f>
        <v>Not Answered</v>
      </c>
      <c r="AB15" s="5" t="str">
        <f>IFERROR(__xludf.DUMMYFUNCTION("""COMPUTED_VALUE"""),"Not Answered")</f>
        <v>Not Answered</v>
      </c>
      <c r="AC15" s="5" t="str">
        <f>IFERROR(__xludf.DUMMYFUNCTION("""COMPUTED_VALUE"""),"Not Answered")</f>
        <v>Not Answered</v>
      </c>
      <c r="AD15" s="5" t="str">
        <f>IFERROR(__xludf.DUMMYFUNCTION("""COMPUTED_VALUE"""),"Not Answered")</f>
        <v>Not Answered</v>
      </c>
      <c r="AE15" s="5" t="str">
        <f>IFERROR(__xludf.DUMMYFUNCTION("""COMPUTED_VALUE"""),"Not Answered")</f>
        <v>Not Answered</v>
      </c>
      <c r="AF15" s="5" t="str">
        <f>IFERROR(__xludf.DUMMYFUNCTION("""COMPUTED_VALUE"""),"Not Answered")</f>
        <v>Not Answered</v>
      </c>
      <c r="AG15" s="5" t="str">
        <f>IFERROR(__xludf.DUMMYFUNCTION("""COMPUTED_VALUE"""),"Svært fornøyd")</f>
        <v>Svært fornøyd</v>
      </c>
      <c r="AH15" s="5" t="str">
        <f>IFERROR(__xludf.DUMMYFUNCTION("""COMPUTED_VALUE"""),"Lars-Olof leverer arbeid av høy kvalitet, og er tar alle utfordringer på strak arm. En god ressurs og ha på teamet.")</f>
        <v>Lars-Olof leverer arbeid av høy kvalitet, og er tar alle utfordringer på strak arm. En god ressurs og ha på teamet.</v>
      </c>
      <c r="AI15" s="5" t="str">
        <f>IFERROR(__xludf.DUMMYFUNCTION("""COMPUTED_VALUE"""),"I stor grad")</f>
        <v>I stor grad</v>
      </c>
      <c r="AJ15" s="5" t="str">
        <f>IFERROR(__xludf.DUMMYFUNCTION("""COMPUTED_VALUE"""),"Not Answered")</f>
        <v>Not Answered</v>
      </c>
      <c r="AK15" s="5" t="str">
        <f>IFERROR(__xludf.DUMMYFUNCTION("""COMPUTED_VALUE"""),"Ganske fornøyd ")</f>
        <v>Ganske fornøyd </v>
      </c>
      <c r="AL15" s="5" t="str">
        <f>IFERROR(__xludf.DUMMYFUNCTION("""COMPUTED_VALUE"""),"Not Answered")</f>
        <v>Not Answered</v>
      </c>
      <c r="AM15" s="5" t="str">
        <f>IFERROR(__xludf.DUMMYFUNCTION("""COMPUTED_VALUE"""),"Svært fornøyd")</f>
        <v>Svært fornøyd</v>
      </c>
      <c r="AN15" s="5" t="str">
        <f>IFERROR(__xludf.DUMMYFUNCTION("""COMPUTED_VALUE"""),"Not Answered")</f>
        <v>Not Answered</v>
      </c>
      <c r="AO15" s="5" t="str">
        <f>IFERROR(__xludf.DUMMYFUNCTION("""COMPUTED_VALUE"""),"Svært fornøyd")</f>
        <v>Svært fornøyd</v>
      </c>
      <c r="AP15" s="5" t="str">
        <f>IFERROR(__xludf.DUMMYFUNCTION("""COMPUTED_VALUE"""),"Not Answered")</f>
        <v>Not Answered</v>
      </c>
      <c r="AQ15" s="5" t="str">
        <f>IFERROR(__xludf.DUMMYFUNCTION("""COMPUTED_VALUE"""),"5 - star")</f>
        <v>5 - star</v>
      </c>
      <c r="AR15" s="5" t="str">
        <f>IFERROR(__xludf.DUMMYFUNCTION("""COMPUTED_VALUE"""),"Not Answered")</f>
        <v>Not Answered</v>
      </c>
      <c r="AS15" s="5" t="str">
        <f>IFERROR(__xludf.DUMMYFUNCTION("""COMPUTED_VALUE"""),"Ikke for øyeblikket")</f>
        <v>Ikke for øyeblikket</v>
      </c>
      <c r="AT15" s="11">
        <f t="shared" si="3"/>
        <v>45600.40434</v>
      </c>
      <c r="AU15" s="5" t="str">
        <f t="shared" si="4"/>
        <v>Schibsted</v>
      </c>
      <c r="AV15" s="5" t="str">
        <f>IFERROR(__xludf.DUMMYFUNCTION("if(ISNUMBER(A15),FILTER(N15:AF15,REGEXMATCH(N15:AF15, ""Not Answered"")=FALSE),)"),"Lars-Olof Moilanen")</f>
        <v>Lars-Olof Moilanen</v>
      </c>
      <c r="AW15" s="5" t="str">
        <f>if(ISNUMBER($C15), VLOOKUP(AV15, konsulenter!$A$1:$B99,2,false),)</f>
        <v>#N/A</v>
      </c>
      <c r="AX15" s="10">
        <f>if(ISNUMBER($C15), VLOOKUP(AG15, mapping!$A$2:$B99,2,false),)</f>
        <v>6</v>
      </c>
      <c r="AY15" s="10" t="str">
        <f t="shared" si="5"/>
        <v>Lars-Olof leverer arbeid av høy kvalitet, og er tar alle utfordringer på strak arm. En god ressurs og ha på teamet.</v>
      </c>
      <c r="AZ15" s="10">
        <f>if(ISNUMBER($C15), VLOOKUP(AI15, mapping!$A$2:$B99,2,false),)</f>
        <v>6</v>
      </c>
      <c r="BA15" s="10" t="str">
        <f t="shared" si="6"/>
        <v>-</v>
      </c>
      <c r="BB15" s="10">
        <f>if(ISNUMBER($C15), VLOOKUP(AK15, mapping!$A$2:$B99,2,false),)</f>
        <v>5</v>
      </c>
      <c r="BC15" s="10" t="str">
        <f t="shared" si="7"/>
        <v>-</v>
      </c>
      <c r="BD15" s="10">
        <f>if(ISNUMBER($C15), VLOOKUP(AM15, mapping!$A$2:$B99,2,false),)</f>
        <v>6</v>
      </c>
      <c r="BE15" s="10" t="str">
        <f t="shared" si="8"/>
        <v>-</v>
      </c>
      <c r="BF15" s="10">
        <f>if(ISNUMBER($C15), VLOOKUP(AO15, mapping!$A$2:$B99,2,false),)</f>
        <v>6</v>
      </c>
      <c r="BG15" s="10" t="str">
        <f t="shared" si="9"/>
        <v>-</v>
      </c>
      <c r="BH15" s="10">
        <f>if(ISNUMBER($C15), VLOOKUP(AQ15, mapping!$A$2:$B99,2,false),)</f>
        <v>5</v>
      </c>
      <c r="BI15" s="10" t="str">
        <f t="shared" ref="BI15:BJ15" si="22">if(ISNUMBER($C15), IF(AR15="Not Answered","-",AR15),)</f>
        <v>-</v>
      </c>
      <c r="BJ15" s="10" t="str">
        <f t="shared" si="22"/>
        <v>Ikke for øyeblikket</v>
      </c>
    </row>
    <row r="16">
      <c r="A16" s="5">
        <f>IFERROR(__xludf.DUMMYFUNCTION("""COMPUTED_VALUE"""),1.14727750916E11)</f>
        <v>114727750916</v>
      </c>
      <c r="B16" s="11">
        <f>IFERROR(__xludf.DUMMYFUNCTION("""COMPUTED_VALUE"""),45600.40763888889)</f>
        <v>45600.40764</v>
      </c>
      <c r="C16" s="11">
        <f>IFERROR(__xludf.DUMMYFUNCTION("""COMPUTED_VALUE"""),45600.41074074074)</f>
        <v>45600.41074</v>
      </c>
      <c r="D16" s="5" t="str">
        <f>IFERROR(__xludf.DUMMYFUNCTION("""COMPUTED_VALUE"""),"77.16.212.108")</f>
        <v>77.16.212.108</v>
      </c>
      <c r="E16" s="5">
        <f>IFERROR(__xludf.DUMMYFUNCTION("""COMPUTED_VALUE"""),267.0)</f>
        <v>267</v>
      </c>
      <c r="F16" s="5" t="str">
        <f>IFERROR(__xludf.DUMMYFUNCTION("""COMPUTED_VALUE"""),"completed")</f>
        <v>completed</v>
      </c>
      <c r="G16" s="5" t="str">
        <f>IFERROR(__xludf.DUMMYFUNCTION("""COMPUTED_VALUE"""),"Not Answered")</f>
        <v>Not Answered</v>
      </c>
      <c r="H16" s="5" t="str">
        <f>IFERROR(__xludf.DUMMYFUNCTION("""COMPUTED_VALUE"""),"Not Answered")</f>
        <v>Not Answered</v>
      </c>
      <c r="I16" s="5" t="str">
        <f>IFERROR(__xludf.DUMMYFUNCTION("""COMPUTED_VALUE"""),"Not Answered")</f>
        <v>Not Answered</v>
      </c>
      <c r="J16" s="5">
        <f>IFERROR(__xludf.DUMMYFUNCTION("""COMPUTED_VALUE"""),4.33188881E8)</f>
        <v>433188881</v>
      </c>
      <c r="K16" s="5" t="str">
        <f>IFERROR(__xludf.DUMMYFUNCTION("""COMPUTED_VALUE"""),"weblink")</f>
        <v>weblink</v>
      </c>
      <c r="L16" s="5" t="str">
        <f>IFERROR(__xludf.DUMMYFUNCTION("""COMPUTED_VALUE"""),"Not Answered")</f>
        <v>Not Answered</v>
      </c>
      <c r="M16" s="5" t="str">
        <f>IFERROR(__xludf.DUMMYFUNCTION("""COMPUTED_VALUE"""),"Schibsted")</f>
        <v>Schibsted</v>
      </c>
      <c r="N16" s="5" t="str">
        <f>IFERROR(__xludf.DUMMYFUNCTION("""COMPUTED_VALUE"""),"Not Answered")</f>
        <v>Not Answered</v>
      </c>
      <c r="O16" s="5" t="str">
        <f>IFERROR(__xludf.DUMMYFUNCTION("""COMPUTED_VALUE"""),"Not Answered")</f>
        <v>Not Answered</v>
      </c>
      <c r="P16" s="5" t="str">
        <f>IFERROR(__xludf.DUMMYFUNCTION("""COMPUTED_VALUE"""),"Not Answered")</f>
        <v>Not Answered</v>
      </c>
      <c r="Q16" s="5" t="str">
        <f>IFERROR(__xludf.DUMMYFUNCTION("""COMPUTED_VALUE"""),"Geoffrey Rekier")</f>
        <v>Geoffrey Rekier</v>
      </c>
      <c r="R16" s="5" t="str">
        <f>IFERROR(__xludf.DUMMYFUNCTION("""COMPUTED_VALUE"""),"Not Answered")</f>
        <v>Not Answered</v>
      </c>
      <c r="S16" s="5" t="str">
        <f>IFERROR(__xludf.DUMMYFUNCTION("""COMPUTED_VALUE"""),"Not Answered")</f>
        <v>Not Answered</v>
      </c>
      <c r="T16" s="5" t="str">
        <f>IFERROR(__xludf.DUMMYFUNCTION("""COMPUTED_VALUE"""),"Not Answered")</f>
        <v>Not Answered</v>
      </c>
      <c r="U16" s="5" t="str">
        <f>IFERROR(__xludf.DUMMYFUNCTION("""COMPUTED_VALUE"""),"Not Answered")</f>
        <v>Not Answered</v>
      </c>
      <c r="V16" s="5" t="str">
        <f>IFERROR(__xludf.DUMMYFUNCTION("""COMPUTED_VALUE"""),"Not Answered")</f>
        <v>Not Answered</v>
      </c>
      <c r="W16" s="5" t="str">
        <f>IFERROR(__xludf.DUMMYFUNCTION("""COMPUTED_VALUE"""),"Not Answered")</f>
        <v>Not Answered</v>
      </c>
      <c r="X16" s="5" t="str">
        <f>IFERROR(__xludf.DUMMYFUNCTION("""COMPUTED_VALUE"""),"Not Answered")</f>
        <v>Not Answered</v>
      </c>
      <c r="Y16" s="5" t="str">
        <f>IFERROR(__xludf.DUMMYFUNCTION("""COMPUTED_VALUE"""),"Not Answered")</f>
        <v>Not Answered</v>
      </c>
      <c r="Z16" s="5" t="str">
        <f>IFERROR(__xludf.DUMMYFUNCTION("""COMPUTED_VALUE"""),"Not Answered")</f>
        <v>Not Answered</v>
      </c>
      <c r="AA16" s="5" t="str">
        <f>IFERROR(__xludf.DUMMYFUNCTION("""COMPUTED_VALUE"""),"Not Answered")</f>
        <v>Not Answered</v>
      </c>
      <c r="AB16" s="5" t="str">
        <f>IFERROR(__xludf.DUMMYFUNCTION("""COMPUTED_VALUE"""),"Not Answered")</f>
        <v>Not Answered</v>
      </c>
      <c r="AC16" s="5" t="str">
        <f>IFERROR(__xludf.DUMMYFUNCTION("""COMPUTED_VALUE"""),"Not Answered")</f>
        <v>Not Answered</v>
      </c>
      <c r="AD16" s="5" t="str">
        <f>IFERROR(__xludf.DUMMYFUNCTION("""COMPUTED_VALUE"""),"Not Answered")</f>
        <v>Not Answered</v>
      </c>
      <c r="AE16" s="5" t="str">
        <f>IFERROR(__xludf.DUMMYFUNCTION("""COMPUTED_VALUE"""),"Not Answered")</f>
        <v>Not Answered</v>
      </c>
      <c r="AF16" s="5" t="str">
        <f>IFERROR(__xludf.DUMMYFUNCTION("""COMPUTED_VALUE"""),"Not Answered")</f>
        <v>Not Answered</v>
      </c>
      <c r="AG16" s="5" t="str">
        <f>IFERROR(__xludf.DUMMYFUNCTION("""COMPUTED_VALUE"""),"Svært fornøyd")</f>
        <v>Svært fornøyd</v>
      </c>
      <c r="AH16" s="5" t="str">
        <f>IFERROR(__xludf.DUMMYFUNCTION("""COMPUTED_VALUE"""),"Geoffrey er en veldig dyktig utvikler som jobber med flere av våre mest kritiske systemer ")</f>
        <v>Geoffrey er en veldig dyktig utvikler som jobber med flere av våre mest kritiske systemer </v>
      </c>
      <c r="AI16" s="5" t="str">
        <f>IFERROR(__xludf.DUMMYFUNCTION("""COMPUTED_VALUE"""),"I stor grad")</f>
        <v>I stor grad</v>
      </c>
      <c r="AJ16" s="5" t="str">
        <f>IFERROR(__xludf.DUMMYFUNCTION("""COMPUTED_VALUE"""),"Not Answered")</f>
        <v>Not Answered</v>
      </c>
      <c r="AK16" s="5" t="str">
        <f>IFERROR(__xludf.DUMMYFUNCTION("""COMPUTED_VALUE"""),"Ganske fornøyd ")</f>
        <v>Ganske fornøyd </v>
      </c>
      <c r="AL16" s="5" t="str">
        <f>IFERROR(__xludf.DUMMYFUNCTION("""COMPUTED_VALUE"""),"Not Answered")</f>
        <v>Not Answered</v>
      </c>
      <c r="AM16" s="5" t="str">
        <f>IFERROR(__xludf.DUMMYFUNCTION("""COMPUTED_VALUE"""),"Ganske fornøyd")</f>
        <v>Ganske fornøyd</v>
      </c>
      <c r="AN16" s="5" t="str">
        <f>IFERROR(__xludf.DUMMYFUNCTION("""COMPUTED_VALUE"""),"Not Answered")</f>
        <v>Not Answered</v>
      </c>
      <c r="AO16" s="5" t="str">
        <f>IFERROR(__xludf.DUMMYFUNCTION("""COMPUTED_VALUE"""),"Svært fornøyd")</f>
        <v>Svært fornøyd</v>
      </c>
      <c r="AP16" s="5" t="str">
        <f>IFERROR(__xludf.DUMMYFUNCTION("""COMPUTED_VALUE"""),"Not Answered")</f>
        <v>Not Answered</v>
      </c>
      <c r="AQ16" s="5" t="str">
        <f>IFERROR(__xludf.DUMMYFUNCTION("""COMPUTED_VALUE"""),"5 - star")</f>
        <v>5 - star</v>
      </c>
      <c r="AR16" s="5" t="str">
        <f>IFERROR(__xludf.DUMMYFUNCTION("""COMPUTED_VALUE"""),"Not Answered")</f>
        <v>Not Answered</v>
      </c>
      <c r="AS16" s="5" t="str">
        <f>IFERROR(__xludf.DUMMYFUNCTION("""COMPUTED_VALUE"""),"Ikke for øyeblikket")</f>
        <v>Ikke for øyeblikket</v>
      </c>
      <c r="AT16" s="11">
        <f t="shared" si="3"/>
        <v>45600.40764</v>
      </c>
      <c r="AU16" s="5" t="str">
        <f t="shared" si="4"/>
        <v>Schibsted</v>
      </c>
      <c r="AV16" s="5" t="str">
        <f>IFERROR(__xludf.DUMMYFUNCTION("if(ISNUMBER(A16),FILTER(N16:AF16,REGEXMATCH(N16:AF16, ""Not Answered"")=FALSE),)"),"Geoffrey Rekier")</f>
        <v>Geoffrey Rekier</v>
      </c>
      <c r="AW16" s="5" t="str">
        <f>if(ISNUMBER($C16), VLOOKUP(AV16, konsulenter!$A$1:$B99,2,false),)</f>
        <v>#N/A</v>
      </c>
      <c r="AX16" s="10">
        <f>if(ISNUMBER($C16), VLOOKUP(AG16, mapping!$A$2:$B99,2,false),)</f>
        <v>6</v>
      </c>
      <c r="AY16" s="10" t="str">
        <f t="shared" si="5"/>
        <v>Geoffrey er en veldig dyktig utvikler som jobber med flere av våre mest kritiske systemer </v>
      </c>
      <c r="AZ16" s="10">
        <f>if(ISNUMBER($C16), VLOOKUP(AI16, mapping!$A$2:$B99,2,false),)</f>
        <v>6</v>
      </c>
      <c r="BA16" s="10" t="str">
        <f t="shared" si="6"/>
        <v>-</v>
      </c>
      <c r="BB16" s="10">
        <f>if(ISNUMBER($C16), VLOOKUP(AK16, mapping!$A$2:$B99,2,false),)</f>
        <v>5</v>
      </c>
      <c r="BC16" s="10" t="str">
        <f t="shared" si="7"/>
        <v>-</v>
      </c>
      <c r="BD16" s="10">
        <f>if(ISNUMBER($C16), VLOOKUP(AM16, mapping!$A$2:$B99,2,false),)</f>
        <v>5</v>
      </c>
      <c r="BE16" s="10" t="str">
        <f t="shared" si="8"/>
        <v>-</v>
      </c>
      <c r="BF16" s="10">
        <f>if(ISNUMBER($C16), VLOOKUP(AO16, mapping!$A$2:$B99,2,false),)</f>
        <v>6</v>
      </c>
      <c r="BG16" s="10" t="str">
        <f t="shared" si="9"/>
        <v>-</v>
      </c>
      <c r="BH16" s="10">
        <f>if(ISNUMBER($C16), VLOOKUP(AQ16, mapping!$A$2:$B99,2,false),)</f>
        <v>5</v>
      </c>
      <c r="BI16" s="10" t="str">
        <f t="shared" ref="BI16:BJ16" si="23">if(ISNUMBER($C16), IF(AR16="Not Answered","-",AR16),)</f>
        <v>-</v>
      </c>
      <c r="BJ16" s="10" t="str">
        <f t="shared" si="23"/>
        <v>Ikke for øyeblikket</v>
      </c>
    </row>
    <row r="17">
      <c r="A17" s="5">
        <f>IFERROR(__xludf.DUMMYFUNCTION("""COMPUTED_VALUE"""),1.14727795056E11)</f>
        <v>114727795056</v>
      </c>
      <c r="B17" s="11">
        <f>IFERROR(__xludf.DUMMYFUNCTION("""COMPUTED_VALUE"""),45600.467303240745)</f>
        <v>45600.4673</v>
      </c>
      <c r="C17" s="11">
        <f>IFERROR(__xludf.DUMMYFUNCTION("""COMPUTED_VALUE"""),45600.46844907408)</f>
        <v>45600.46845</v>
      </c>
      <c r="D17" s="5" t="str">
        <f>IFERROR(__xludf.DUMMYFUNCTION("""COMPUTED_VALUE"""),"155.55.51.186")</f>
        <v>155.55.51.186</v>
      </c>
      <c r="E17" s="5">
        <f>IFERROR(__xludf.DUMMYFUNCTION("""COMPUTED_VALUE"""),99.0)</f>
        <v>99</v>
      </c>
      <c r="F17" s="5" t="str">
        <f>IFERROR(__xludf.DUMMYFUNCTION("""COMPUTED_VALUE"""),"completed")</f>
        <v>completed</v>
      </c>
      <c r="G17" s="5" t="str">
        <f>IFERROR(__xludf.DUMMYFUNCTION("""COMPUTED_VALUE"""),"Not Answered")</f>
        <v>Not Answered</v>
      </c>
      <c r="H17" s="5" t="str">
        <f>IFERROR(__xludf.DUMMYFUNCTION("""COMPUTED_VALUE"""),"Not Answered")</f>
        <v>Not Answered</v>
      </c>
      <c r="I17" s="5" t="str">
        <f>IFERROR(__xludf.DUMMYFUNCTION("""COMPUTED_VALUE"""),"Not Answered")</f>
        <v>Not Answered</v>
      </c>
      <c r="J17" s="5">
        <f>IFERROR(__xludf.DUMMYFUNCTION("""COMPUTED_VALUE"""),4.33188881E8)</f>
        <v>433188881</v>
      </c>
      <c r="K17" s="5" t="str">
        <f>IFERROR(__xludf.DUMMYFUNCTION("""COMPUTED_VALUE"""),"weblink")</f>
        <v>weblink</v>
      </c>
      <c r="L17" s="5" t="str">
        <f>IFERROR(__xludf.DUMMYFUNCTION("""COMPUTED_VALUE"""),"Not Answered")</f>
        <v>Not Answered</v>
      </c>
      <c r="M17" s="5" t="str">
        <f>IFERROR(__xludf.DUMMYFUNCTION("""COMPUTED_VALUE"""),"NAV")</f>
        <v>NAV</v>
      </c>
      <c r="N17" s="5" t="str">
        <f>IFERROR(__xludf.DUMMYFUNCTION("""COMPUTED_VALUE"""),"Not Answered")</f>
        <v>Not Answered</v>
      </c>
      <c r="O17" s="5" t="str">
        <f>IFERROR(__xludf.DUMMYFUNCTION("""COMPUTED_VALUE"""),"Not Answered")</f>
        <v>Not Answered</v>
      </c>
      <c r="P17" s="5" t="str">
        <f>IFERROR(__xludf.DUMMYFUNCTION("""COMPUTED_VALUE"""),"Not Answered")</f>
        <v>Not Answered</v>
      </c>
      <c r="Q17" s="5" t="str">
        <f>IFERROR(__xludf.DUMMYFUNCTION("""COMPUTED_VALUE"""),"Not Answered")</f>
        <v>Not Answered</v>
      </c>
      <c r="R17" s="5" t="str">
        <f>IFERROR(__xludf.DUMMYFUNCTION("""COMPUTED_VALUE"""),"Not Answered")</f>
        <v>Not Answered</v>
      </c>
      <c r="S17" s="5" t="str">
        <f>IFERROR(__xludf.DUMMYFUNCTION("""COMPUTED_VALUE"""),"Not Answered")</f>
        <v>Not Answered</v>
      </c>
      <c r="T17" s="5" t="str">
        <f>IFERROR(__xludf.DUMMYFUNCTION("""COMPUTED_VALUE"""),"Not Answered")</f>
        <v>Not Answered</v>
      </c>
      <c r="U17" s="5" t="str">
        <f>IFERROR(__xludf.DUMMYFUNCTION("""COMPUTED_VALUE"""),"Not Answered")</f>
        <v>Not Answered</v>
      </c>
      <c r="V17" s="5" t="str">
        <f>IFERROR(__xludf.DUMMYFUNCTION("""COMPUTED_VALUE"""),"Not Answered")</f>
        <v>Not Answered</v>
      </c>
      <c r="W17" s="5" t="str">
        <f>IFERROR(__xludf.DUMMYFUNCTION("""COMPUTED_VALUE"""),"Not Answered")</f>
        <v>Not Answered</v>
      </c>
      <c r="X17" s="5" t="str">
        <f>IFERROR(__xludf.DUMMYFUNCTION("""COMPUTED_VALUE"""),"Not Answered")</f>
        <v>Not Answered</v>
      </c>
      <c r="Y17" s="5" t="str">
        <f>IFERROR(__xludf.DUMMYFUNCTION("""COMPUTED_VALUE"""),"Not Answered")</f>
        <v>Not Answered</v>
      </c>
      <c r="Z17" s="5" t="str">
        <f>IFERROR(__xludf.DUMMYFUNCTION("""COMPUTED_VALUE"""),"Not Answered")</f>
        <v>Not Answered</v>
      </c>
      <c r="AA17" s="5" t="str">
        <f>IFERROR(__xludf.DUMMYFUNCTION("""COMPUTED_VALUE"""),"Not Answered")</f>
        <v>Not Answered</v>
      </c>
      <c r="AB17" s="5" t="str">
        <f>IFERROR(__xludf.DUMMYFUNCTION("""COMPUTED_VALUE"""),"Not Answered")</f>
        <v>Not Answered</v>
      </c>
      <c r="AC17" s="5" t="str">
        <f>IFERROR(__xludf.DUMMYFUNCTION("""COMPUTED_VALUE"""),"Not Answered")</f>
        <v>Not Answered</v>
      </c>
      <c r="AD17" s="5" t="str">
        <f>IFERROR(__xludf.DUMMYFUNCTION("""COMPUTED_VALUE"""),"Not Answered")</f>
        <v>Not Answered</v>
      </c>
      <c r="AE17" s="5" t="str">
        <f>IFERROR(__xludf.DUMMYFUNCTION("""COMPUTED_VALUE"""),"Anton Fofanov")</f>
        <v>Anton Fofanov</v>
      </c>
      <c r="AF17" s="5" t="str">
        <f>IFERROR(__xludf.DUMMYFUNCTION("""COMPUTED_VALUE"""),"Not Answered")</f>
        <v>Not Answered</v>
      </c>
      <c r="AG17" s="5" t="str">
        <f>IFERROR(__xludf.DUMMYFUNCTION("""COMPUTED_VALUE"""),"Svært fornøyd")</f>
        <v>Svært fornøyd</v>
      </c>
      <c r="AH17" s="5" t="str">
        <f>IFERROR(__xludf.DUMMYFUNCTION("""COMPUTED_VALUE"""),"Not Answered")</f>
        <v>Not Answered</v>
      </c>
      <c r="AI17" s="5" t="str">
        <f>IFERROR(__xludf.DUMMYFUNCTION("""COMPUTED_VALUE"""),"I stor grad")</f>
        <v>I stor grad</v>
      </c>
      <c r="AJ17" s="5" t="str">
        <f>IFERROR(__xludf.DUMMYFUNCTION("""COMPUTED_VALUE"""),"Not Answered")</f>
        <v>Not Answered</v>
      </c>
      <c r="AK17" s="5" t="str">
        <f>IFERROR(__xludf.DUMMYFUNCTION("""COMPUTED_VALUE"""),"Litt fornøyd")</f>
        <v>Litt fornøyd</v>
      </c>
      <c r="AL17" s="5" t="str">
        <f>IFERROR(__xludf.DUMMYFUNCTION("""COMPUTED_VALUE"""),"Not Answered")</f>
        <v>Not Answered</v>
      </c>
      <c r="AM17" s="5" t="str">
        <f>IFERROR(__xludf.DUMMYFUNCTION("""COMPUTED_VALUE"""),"Ganske fornøyd")</f>
        <v>Ganske fornøyd</v>
      </c>
      <c r="AN17" s="5" t="str">
        <f>IFERROR(__xludf.DUMMYFUNCTION("""COMPUTED_VALUE"""),"Not Answered")</f>
        <v>Not Answered</v>
      </c>
      <c r="AO17" s="5" t="str">
        <f>IFERROR(__xludf.DUMMYFUNCTION("""COMPUTED_VALUE"""),"Not Answered")</f>
        <v>Not Answered</v>
      </c>
      <c r="AP17" s="5" t="str">
        <f>IFERROR(__xludf.DUMMYFUNCTION("""COMPUTED_VALUE"""),"Not Answered")</f>
        <v>Not Answered</v>
      </c>
      <c r="AQ17" s="5" t="str">
        <f>IFERROR(__xludf.DUMMYFUNCTION("""COMPUTED_VALUE"""),"3 - star")</f>
        <v>3 - star</v>
      </c>
      <c r="AR17" s="5" t="str">
        <f>IFERROR(__xludf.DUMMYFUNCTION("""COMPUTED_VALUE"""),"Jeg har ikke innsyn i pris/avtaler.")</f>
        <v>Jeg har ikke innsyn i pris/avtaler.</v>
      </c>
      <c r="AS17" s="5" t="str">
        <f>IFERROR(__xludf.DUMMYFUNCTION("""COMPUTED_VALUE"""),"Not Answered")</f>
        <v>Not Answered</v>
      </c>
      <c r="AT17" s="11">
        <f t="shared" si="3"/>
        <v>45600.4673</v>
      </c>
      <c r="AU17" s="5" t="str">
        <f t="shared" si="4"/>
        <v>NAV</v>
      </c>
      <c r="AV17" s="5" t="str">
        <f>IFERROR(__xludf.DUMMYFUNCTION("if(ISNUMBER(A17),FILTER(N17:AF17,REGEXMATCH(N17:AF17, ""Not Answered"")=FALSE),)"),"Anton Fofanov")</f>
        <v>Anton Fofanov</v>
      </c>
      <c r="AW17" s="5" t="str">
        <f>if(ISNUMBER($C17), VLOOKUP(AV17, konsulenter!$A$1:$B99,2,false),)</f>
        <v>#N/A</v>
      </c>
      <c r="AX17" s="10">
        <f>if(ISNUMBER($C17), VLOOKUP(AG17, mapping!$A$2:$B99,2,false),)</f>
        <v>6</v>
      </c>
      <c r="AY17" s="10" t="str">
        <f t="shared" si="5"/>
        <v>-</v>
      </c>
      <c r="AZ17" s="10">
        <f>if(ISNUMBER($C17), VLOOKUP(AI17, mapping!$A$2:$B99,2,false),)</f>
        <v>6</v>
      </c>
      <c r="BA17" s="10" t="str">
        <f t="shared" si="6"/>
        <v>-</v>
      </c>
      <c r="BB17" s="10">
        <f>if(ISNUMBER($C17), VLOOKUP(AK17, mapping!$A$2:$B99,2,false),)</f>
        <v>4</v>
      </c>
      <c r="BC17" s="10" t="str">
        <f t="shared" si="7"/>
        <v>-</v>
      </c>
      <c r="BD17" s="10">
        <f>if(ISNUMBER($C17), VLOOKUP(AM17, mapping!$A$2:$B99,2,false),)</f>
        <v>5</v>
      </c>
      <c r="BE17" s="10" t="str">
        <f t="shared" si="8"/>
        <v>-</v>
      </c>
      <c r="BF17" s="10" t="str">
        <f>if(ISNUMBER($C17), VLOOKUP(AO17, mapping!$A$2:$B99,2,false),)</f>
        <v/>
      </c>
      <c r="BG17" s="10" t="str">
        <f t="shared" si="9"/>
        <v>-</v>
      </c>
      <c r="BH17" s="10">
        <f>if(ISNUMBER($C17), VLOOKUP(AQ17, mapping!$A$2:$B99,2,false),)</f>
        <v>3</v>
      </c>
      <c r="BI17" s="10" t="str">
        <f t="shared" ref="BI17:BJ17" si="24">if(ISNUMBER($C17), IF(AR17="Not Answered","-",AR17),)</f>
        <v>Jeg har ikke innsyn i pris/avtaler.</v>
      </c>
      <c r="BJ17" s="10" t="str">
        <f t="shared" si="24"/>
        <v>-</v>
      </c>
    </row>
    <row r="18">
      <c r="A18" s="5">
        <f>IFERROR(__xludf.DUMMYFUNCTION("""COMPUTED_VALUE"""),1.14727860401E11)</f>
        <v>114727860401</v>
      </c>
      <c r="B18" s="11">
        <f>IFERROR(__xludf.DUMMYFUNCTION("""COMPUTED_VALUE"""),45600.55229166667)</f>
        <v>45600.55229</v>
      </c>
      <c r="C18" s="11">
        <f>IFERROR(__xludf.DUMMYFUNCTION("""COMPUTED_VALUE"""),45600.554398148146)</f>
        <v>45600.5544</v>
      </c>
      <c r="D18" s="5" t="str">
        <f>IFERROR(__xludf.DUMMYFUNCTION("""COMPUTED_VALUE"""),"151.187.161.6")</f>
        <v>151.187.161.6</v>
      </c>
      <c r="E18" s="5">
        <f>IFERROR(__xludf.DUMMYFUNCTION("""COMPUTED_VALUE"""),181.0)</f>
        <v>181</v>
      </c>
      <c r="F18" s="5" t="str">
        <f>IFERROR(__xludf.DUMMYFUNCTION("""COMPUTED_VALUE"""),"completed")</f>
        <v>completed</v>
      </c>
      <c r="G18" s="5" t="str">
        <f>IFERROR(__xludf.DUMMYFUNCTION("""COMPUTED_VALUE"""),"Not Answered")</f>
        <v>Not Answered</v>
      </c>
      <c r="H18" s="5" t="str">
        <f>IFERROR(__xludf.DUMMYFUNCTION("""COMPUTED_VALUE"""),"Not Answered")</f>
        <v>Not Answered</v>
      </c>
      <c r="I18" s="5" t="str">
        <f>IFERROR(__xludf.DUMMYFUNCTION("""COMPUTED_VALUE"""),"Not Answered")</f>
        <v>Not Answered</v>
      </c>
      <c r="J18" s="5">
        <f>IFERROR(__xludf.DUMMYFUNCTION("""COMPUTED_VALUE"""),4.33188881E8)</f>
        <v>433188881</v>
      </c>
      <c r="K18" s="5" t="str">
        <f>IFERROR(__xludf.DUMMYFUNCTION("""COMPUTED_VALUE"""),"weblink")</f>
        <v>weblink</v>
      </c>
      <c r="L18" s="5" t="str">
        <f>IFERROR(__xludf.DUMMYFUNCTION("""COMPUTED_VALUE"""),"Not Answered")</f>
        <v>Not Answered</v>
      </c>
      <c r="M18" s="5" t="str">
        <f>IFERROR(__xludf.DUMMYFUNCTION("""COMPUTED_VALUE"""),"Skatteetaten")</f>
        <v>Skatteetaten</v>
      </c>
      <c r="N18" s="5" t="str">
        <f>IFERROR(__xludf.DUMMYFUNCTION("""COMPUTED_VALUE"""),"Anders Karlsen")</f>
        <v>Anders Karlsen</v>
      </c>
      <c r="O18" s="5" t="str">
        <f>IFERROR(__xludf.DUMMYFUNCTION("""COMPUTED_VALUE"""),"Not Answered")</f>
        <v>Not Answered</v>
      </c>
      <c r="P18" s="5" t="str">
        <f>IFERROR(__xludf.DUMMYFUNCTION("""COMPUTED_VALUE"""),"Not Answered")</f>
        <v>Not Answered</v>
      </c>
      <c r="Q18" s="5" t="str">
        <f>IFERROR(__xludf.DUMMYFUNCTION("""COMPUTED_VALUE"""),"Not Answered")</f>
        <v>Not Answered</v>
      </c>
      <c r="R18" s="5" t="str">
        <f>IFERROR(__xludf.DUMMYFUNCTION("""COMPUTED_VALUE"""),"Not Answered")</f>
        <v>Not Answered</v>
      </c>
      <c r="S18" s="5" t="str">
        <f>IFERROR(__xludf.DUMMYFUNCTION("""COMPUTED_VALUE"""),"Not Answered")</f>
        <v>Not Answered</v>
      </c>
      <c r="T18" s="5" t="str">
        <f>IFERROR(__xludf.DUMMYFUNCTION("""COMPUTED_VALUE"""),"Not Answered")</f>
        <v>Not Answered</v>
      </c>
      <c r="U18" s="5" t="str">
        <f>IFERROR(__xludf.DUMMYFUNCTION("""COMPUTED_VALUE"""),"Not Answered")</f>
        <v>Not Answered</v>
      </c>
      <c r="V18" s="5" t="str">
        <f>IFERROR(__xludf.DUMMYFUNCTION("""COMPUTED_VALUE"""),"Not Answered")</f>
        <v>Not Answered</v>
      </c>
      <c r="W18" s="5" t="str">
        <f>IFERROR(__xludf.DUMMYFUNCTION("""COMPUTED_VALUE"""),"Not Answered")</f>
        <v>Not Answered</v>
      </c>
      <c r="X18" s="5" t="str">
        <f>IFERROR(__xludf.DUMMYFUNCTION("""COMPUTED_VALUE"""),"Not Answered")</f>
        <v>Not Answered</v>
      </c>
      <c r="Y18" s="5" t="str">
        <f>IFERROR(__xludf.DUMMYFUNCTION("""COMPUTED_VALUE"""),"Not Answered")</f>
        <v>Not Answered</v>
      </c>
      <c r="Z18" s="5" t="str">
        <f>IFERROR(__xludf.DUMMYFUNCTION("""COMPUTED_VALUE"""),"Not Answered")</f>
        <v>Not Answered</v>
      </c>
      <c r="AA18" s="5" t="str">
        <f>IFERROR(__xludf.DUMMYFUNCTION("""COMPUTED_VALUE"""),"Not Answered")</f>
        <v>Not Answered</v>
      </c>
      <c r="AB18" s="5" t="str">
        <f>IFERROR(__xludf.DUMMYFUNCTION("""COMPUTED_VALUE"""),"Not Answered")</f>
        <v>Not Answered</v>
      </c>
      <c r="AC18" s="5" t="str">
        <f>IFERROR(__xludf.DUMMYFUNCTION("""COMPUTED_VALUE"""),"Not Answered")</f>
        <v>Not Answered</v>
      </c>
      <c r="AD18" s="5" t="str">
        <f>IFERROR(__xludf.DUMMYFUNCTION("""COMPUTED_VALUE"""),"Not Answered")</f>
        <v>Not Answered</v>
      </c>
      <c r="AE18" s="5" t="str">
        <f>IFERROR(__xludf.DUMMYFUNCTION("""COMPUTED_VALUE"""),"Not Answered")</f>
        <v>Not Answered</v>
      </c>
      <c r="AF18" s="5" t="str">
        <f>IFERROR(__xludf.DUMMYFUNCTION("""COMPUTED_VALUE"""),"Not Answered")</f>
        <v>Not Answered</v>
      </c>
      <c r="AG18" s="5" t="str">
        <f>IFERROR(__xludf.DUMMYFUNCTION("""COMPUTED_VALUE"""),"Svært fornøyd")</f>
        <v>Svært fornøyd</v>
      </c>
      <c r="AH18" s="5" t="str">
        <f>IFERROR(__xludf.DUMMYFUNCTION("""COMPUTED_VALUE"""),"Not Answered")</f>
        <v>Not Answered</v>
      </c>
      <c r="AI18" s="5" t="str">
        <f>IFERROR(__xludf.DUMMYFUNCTION("""COMPUTED_VALUE"""),"I stor grad")</f>
        <v>I stor grad</v>
      </c>
      <c r="AJ18" s="5" t="str">
        <f>IFERROR(__xludf.DUMMYFUNCTION("""COMPUTED_VALUE"""),"Not Answered")</f>
        <v>Not Answered</v>
      </c>
      <c r="AK18" s="5" t="str">
        <f>IFERROR(__xludf.DUMMYFUNCTION("""COMPUTED_VALUE"""),"Ganske fornøyd ")</f>
        <v>Ganske fornøyd </v>
      </c>
      <c r="AL18" s="5" t="str">
        <f>IFERROR(__xludf.DUMMYFUNCTION("""COMPUTED_VALUE"""),"Akkurat startet hos oss, så litt tidlig å uttale seg og i hvert fall gi full score")</f>
        <v>Akkurat startet hos oss, så litt tidlig å uttale seg og i hvert fall gi full score</v>
      </c>
      <c r="AM18" s="5" t="str">
        <f>IFERROR(__xludf.DUMMYFUNCTION("""COMPUTED_VALUE"""),"Svært fornøyd")</f>
        <v>Svært fornøyd</v>
      </c>
      <c r="AN18" s="5" t="str">
        <f>IFERROR(__xludf.DUMMYFUNCTION("""COMPUTED_VALUE"""),"Not Answered")</f>
        <v>Not Answered</v>
      </c>
      <c r="AO18" s="5" t="str">
        <f>IFERROR(__xludf.DUMMYFUNCTION("""COMPUTED_VALUE"""),"Not Answered")</f>
        <v>Not Answered</v>
      </c>
      <c r="AP18" s="5" t="str">
        <f>IFERROR(__xludf.DUMMYFUNCTION("""COMPUTED_VALUE"""),"Står over denne. Siden jeg som teamleder ikke har så mye kontakt med dere")</f>
        <v>Står over denne. Siden jeg som teamleder ikke har så mye kontakt med dere</v>
      </c>
      <c r="AQ18" s="5" t="str">
        <f>IFERROR(__xludf.DUMMYFUNCTION("""COMPUTED_VALUE"""),"I stor grad")</f>
        <v>I stor grad</v>
      </c>
      <c r="AR18" s="5" t="str">
        <f>IFERROR(__xludf.DUMMYFUNCTION("""COMPUTED_VALUE"""),"Not Answered")</f>
        <v>Not Answered</v>
      </c>
      <c r="AS18" s="5" t="str">
        <f>IFERROR(__xludf.DUMMYFUNCTION("""COMPUTED_VALUE"""),"Nei")</f>
        <v>Nei</v>
      </c>
      <c r="AT18" s="11">
        <f t="shared" si="3"/>
        <v>45600.55229</v>
      </c>
      <c r="AU18" s="5" t="str">
        <f t="shared" si="4"/>
        <v>Skatteetaten</v>
      </c>
      <c r="AV18" s="5" t="str">
        <f>IFERROR(__xludf.DUMMYFUNCTION("if(ISNUMBER(A18),FILTER(N18:AF18,REGEXMATCH(N18:AF18, ""Not Answered"")=FALSE),)"),"Anders Karlsen")</f>
        <v>Anders Karlsen</v>
      </c>
      <c r="AW18" s="5" t="str">
        <f>if(ISNUMBER($C18), VLOOKUP(AV18, konsulenter!$A$1:$B99,2,false),)</f>
        <v>#N/A</v>
      </c>
      <c r="AX18" s="10">
        <f>if(ISNUMBER($C18), VLOOKUP(AG18, mapping!$A$2:$B99,2,false),)</f>
        <v>6</v>
      </c>
      <c r="AY18" s="10" t="str">
        <f t="shared" si="5"/>
        <v>-</v>
      </c>
      <c r="AZ18" s="10">
        <f>if(ISNUMBER($C18), VLOOKUP(AI18, mapping!$A$2:$B99,2,false),)</f>
        <v>6</v>
      </c>
      <c r="BA18" s="10" t="str">
        <f t="shared" si="6"/>
        <v>-</v>
      </c>
      <c r="BB18" s="10">
        <f>if(ISNUMBER($C18), VLOOKUP(AK18, mapping!$A$2:$B99,2,false),)</f>
        <v>5</v>
      </c>
      <c r="BC18" s="10" t="str">
        <f t="shared" si="7"/>
        <v>Akkurat startet hos oss, så litt tidlig å uttale seg og i hvert fall gi full score</v>
      </c>
      <c r="BD18" s="10">
        <f>if(ISNUMBER($C18), VLOOKUP(AM18, mapping!$A$2:$B99,2,false),)</f>
        <v>6</v>
      </c>
      <c r="BE18" s="10" t="str">
        <f t="shared" si="8"/>
        <v>-</v>
      </c>
      <c r="BF18" s="10" t="str">
        <f>if(ISNUMBER($C18), VLOOKUP(AO18, mapping!$A$2:$B99,2,false),)</f>
        <v/>
      </c>
      <c r="BG18" s="10" t="str">
        <f t="shared" si="9"/>
        <v>Står over denne. Siden jeg som teamleder ikke har så mye kontakt med dere</v>
      </c>
      <c r="BH18" s="10">
        <f>if(ISNUMBER($C18), VLOOKUP(AQ18, mapping!$A$2:$B99,2,false),)</f>
        <v>6</v>
      </c>
      <c r="BI18" s="10" t="str">
        <f t="shared" ref="BI18:BJ18" si="25">if(ISNUMBER($C18), IF(AR18="Not Answered","-",AR18),)</f>
        <v>-</v>
      </c>
      <c r="BJ18" s="10" t="str">
        <f t="shared" si="25"/>
        <v>Nei</v>
      </c>
    </row>
    <row r="19">
      <c r="A19" s="5">
        <f>IFERROR(__xludf.DUMMYFUNCTION("""COMPUTED_VALUE"""),1.14727862304E11)</f>
        <v>114727862304</v>
      </c>
      <c r="B19" s="11">
        <f>IFERROR(__xludf.DUMMYFUNCTION("""COMPUTED_VALUE"""),45600.551527777774)</f>
        <v>45600.55153</v>
      </c>
      <c r="C19" s="11">
        <f>IFERROR(__xludf.DUMMYFUNCTION("""COMPUTED_VALUE"""),45600.55939814815)</f>
        <v>45600.5594</v>
      </c>
      <c r="D19" s="5" t="str">
        <f>IFERROR(__xludf.DUMMYFUNCTION("""COMPUTED_VALUE"""),"151.187.161.6")</f>
        <v>151.187.161.6</v>
      </c>
      <c r="E19" s="5">
        <f>IFERROR(__xludf.DUMMYFUNCTION("""COMPUTED_VALUE"""),679.0)</f>
        <v>679</v>
      </c>
      <c r="F19" s="5" t="str">
        <f>IFERROR(__xludf.DUMMYFUNCTION("""COMPUTED_VALUE"""),"completed")</f>
        <v>completed</v>
      </c>
      <c r="G19" s="5" t="str">
        <f>IFERROR(__xludf.DUMMYFUNCTION("""COMPUTED_VALUE"""),"Not Answered")</f>
        <v>Not Answered</v>
      </c>
      <c r="H19" s="5" t="str">
        <f>IFERROR(__xludf.DUMMYFUNCTION("""COMPUTED_VALUE"""),"Not Answered")</f>
        <v>Not Answered</v>
      </c>
      <c r="I19" s="5" t="str">
        <f>IFERROR(__xludf.DUMMYFUNCTION("""COMPUTED_VALUE"""),"Not Answered")</f>
        <v>Not Answered</v>
      </c>
      <c r="J19" s="5">
        <f>IFERROR(__xludf.DUMMYFUNCTION("""COMPUTED_VALUE"""),4.33188881E8)</f>
        <v>433188881</v>
      </c>
      <c r="K19" s="5" t="str">
        <f>IFERROR(__xludf.DUMMYFUNCTION("""COMPUTED_VALUE"""),"weblink")</f>
        <v>weblink</v>
      </c>
      <c r="L19" s="5" t="str">
        <f>IFERROR(__xludf.DUMMYFUNCTION("""COMPUTED_VALUE"""),"Not Answered")</f>
        <v>Not Answered</v>
      </c>
      <c r="M19" s="5" t="str">
        <f>IFERROR(__xludf.DUMMYFUNCTION("""COMPUTED_VALUE"""),"Skatteetaten")</f>
        <v>Skatteetaten</v>
      </c>
      <c r="N19" s="5" t="str">
        <f>IFERROR(__xludf.DUMMYFUNCTION("""COMPUTED_VALUE"""),"Robert Andersson")</f>
        <v>Robert Andersson</v>
      </c>
      <c r="O19" s="5" t="str">
        <f>IFERROR(__xludf.DUMMYFUNCTION("""COMPUTED_VALUE"""),"Not Answered")</f>
        <v>Not Answered</v>
      </c>
      <c r="P19" s="5" t="str">
        <f>IFERROR(__xludf.DUMMYFUNCTION("""COMPUTED_VALUE"""),"Not Answered")</f>
        <v>Not Answered</v>
      </c>
      <c r="Q19" s="5" t="str">
        <f>IFERROR(__xludf.DUMMYFUNCTION("""COMPUTED_VALUE"""),"Not Answered")</f>
        <v>Not Answered</v>
      </c>
      <c r="R19" s="5" t="str">
        <f>IFERROR(__xludf.DUMMYFUNCTION("""COMPUTED_VALUE"""),"Not Answered")</f>
        <v>Not Answered</v>
      </c>
      <c r="S19" s="5" t="str">
        <f>IFERROR(__xludf.DUMMYFUNCTION("""COMPUTED_VALUE"""),"Not Answered")</f>
        <v>Not Answered</v>
      </c>
      <c r="T19" s="5" t="str">
        <f>IFERROR(__xludf.DUMMYFUNCTION("""COMPUTED_VALUE"""),"Not Answered")</f>
        <v>Not Answered</v>
      </c>
      <c r="U19" s="5" t="str">
        <f>IFERROR(__xludf.DUMMYFUNCTION("""COMPUTED_VALUE"""),"Not Answered")</f>
        <v>Not Answered</v>
      </c>
      <c r="V19" s="5" t="str">
        <f>IFERROR(__xludf.DUMMYFUNCTION("""COMPUTED_VALUE"""),"Not Answered")</f>
        <v>Not Answered</v>
      </c>
      <c r="W19" s="5" t="str">
        <f>IFERROR(__xludf.DUMMYFUNCTION("""COMPUTED_VALUE"""),"Not Answered")</f>
        <v>Not Answered</v>
      </c>
      <c r="X19" s="5" t="str">
        <f>IFERROR(__xludf.DUMMYFUNCTION("""COMPUTED_VALUE"""),"Not Answered")</f>
        <v>Not Answered</v>
      </c>
      <c r="Y19" s="5" t="str">
        <f>IFERROR(__xludf.DUMMYFUNCTION("""COMPUTED_VALUE"""),"Not Answered")</f>
        <v>Not Answered</v>
      </c>
      <c r="Z19" s="5" t="str">
        <f>IFERROR(__xludf.DUMMYFUNCTION("""COMPUTED_VALUE"""),"Not Answered")</f>
        <v>Not Answered</v>
      </c>
      <c r="AA19" s="5" t="str">
        <f>IFERROR(__xludf.DUMMYFUNCTION("""COMPUTED_VALUE"""),"Not Answered")</f>
        <v>Not Answered</v>
      </c>
      <c r="AB19" s="5" t="str">
        <f>IFERROR(__xludf.DUMMYFUNCTION("""COMPUTED_VALUE"""),"Not Answered")</f>
        <v>Not Answered</v>
      </c>
      <c r="AC19" s="5" t="str">
        <f>IFERROR(__xludf.DUMMYFUNCTION("""COMPUTED_VALUE"""),"Not Answered")</f>
        <v>Not Answered</v>
      </c>
      <c r="AD19" s="5" t="str">
        <f>IFERROR(__xludf.DUMMYFUNCTION("""COMPUTED_VALUE"""),"Not Answered")</f>
        <v>Not Answered</v>
      </c>
      <c r="AE19" s="5" t="str">
        <f>IFERROR(__xludf.DUMMYFUNCTION("""COMPUTED_VALUE"""),"Not Answered")</f>
        <v>Not Answered</v>
      </c>
      <c r="AF19" s="5" t="str">
        <f>IFERROR(__xludf.DUMMYFUNCTION("""COMPUTED_VALUE"""),"Not Answered")</f>
        <v>Not Answered</v>
      </c>
      <c r="AG19" s="5" t="str">
        <f>IFERROR(__xludf.DUMMYFUNCTION("""COMPUTED_VALUE"""),"Svært fornøyd")</f>
        <v>Svært fornøyd</v>
      </c>
      <c r="AH19" s="5" t="str">
        <f>IFERROR(__xludf.DUMMYFUNCTION("""COMPUTED_VALUE"""),"Not Answered")</f>
        <v>Not Answered</v>
      </c>
      <c r="AI19" s="5" t="str">
        <f>IFERROR(__xludf.DUMMYFUNCTION("""COMPUTED_VALUE"""),"I stor grad")</f>
        <v>I stor grad</v>
      </c>
      <c r="AJ19" s="5" t="str">
        <f>IFERROR(__xludf.DUMMYFUNCTION("""COMPUTED_VALUE"""),"Not Answered")</f>
        <v>Not Answered</v>
      </c>
      <c r="AK19" s="5" t="str">
        <f>IFERROR(__xludf.DUMMYFUNCTION("""COMPUTED_VALUE"""),"Svært fornøyd")</f>
        <v>Svært fornøyd</v>
      </c>
      <c r="AL19" s="5" t="str">
        <f>IFERROR(__xludf.DUMMYFUNCTION("""COMPUTED_VALUE"""),"Not Answered")</f>
        <v>Not Answered</v>
      </c>
      <c r="AM19" s="5" t="str">
        <f>IFERROR(__xludf.DUMMYFUNCTION("""COMPUTED_VALUE"""),"Svært fornøyd")</f>
        <v>Svært fornøyd</v>
      </c>
      <c r="AN19" s="5" t="str">
        <f>IFERROR(__xludf.DUMMYFUNCTION("""COMPUTED_VALUE"""),"Not Answered")</f>
        <v>Not Answered</v>
      </c>
      <c r="AO19" s="5" t="str">
        <f>IFERROR(__xludf.DUMMYFUNCTION("""COMPUTED_VALUE"""),"Not Answered")</f>
        <v>Not Answered</v>
      </c>
      <c r="AP19" s="5" t="str">
        <f>IFERROR(__xludf.DUMMYFUNCTION("""COMPUTED_VALUE"""),"Som teamleder har jeg ikke så mye kontakt med konsulentselskapet. Velger derfor å ikke svare")</f>
        <v>Som teamleder har jeg ikke så mye kontakt med konsulentselskapet. Velger derfor å ikke svare</v>
      </c>
      <c r="AQ19" s="5" t="str">
        <f>IFERROR(__xludf.DUMMYFUNCTION("""COMPUTED_VALUE"""),"I stor grad")</f>
        <v>I stor grad</v>
      </c>
      <c r="AR19" s="5" t="str">
        <f>IFERROR(__xludf.DUMMYFUNCTION("""COMPUTED_VALUE"""),"Not Answered")</f>
        <v>Not Answered</v>
      </c>
      <c r="AS19" s="5" t="str">
        <f>IFERROR(__xludf.DUMMYFUNCTION("""COMPUTED_VALUE"""),"nei")</f>
        <v>nei</v>
      </c>
      <c r="AT19" s="11">
        <f t="shared" si="3"/>
        <v>45600.55153</v>
      </c>
      <c r="AU19" s="5" t="str">
        <f t="shared" si="4"/>
        <v>Skatteetaten</v>
      </c>
      <c r="AV19" s="5" t="str">
        <f>IFERROR(__xludf.DUMMYFUNCTION("if(ISNUMBER(A19),FILTER(N19:AF19,REGEXMATCH(N19:AF19, ""Not Answered"")=FALSE),)"),"Robert Andersson")</f>
        <v>Robert Andersson</v>
      </c>
      <c r="AW19" s="5" t="str">
        <f>if(ISNUMBER($C19), VLOOKUP(AV19, konsulenter!$A$1:$B99,2,false),)</f>
        <v>#N/A</v>
      </c>
      <c r="AX19" s="10">
        <f>if(ISNUMBER($C19), VLOOKUP(AG19, mapping!$A$2:$B99,2,false),)</f>
        <v>6</v>
      </c>
      <c r="AY19" s="10" t="str">
        <f t="shared" si="5"/>
        <v>-</v>
      </c>
      <c r="AZ19" s="10">
        <f>if(ISNUMBER($C19), VLOOKUP(AI19, mapping!$A$2:$B99,2,false),)</f>
        <v>6</v>
      </c>
      <c r="BA19" s="10" t="str">
        <f t="shared" si="6"/>
        <v>-</v>
      </c>
      <c r="BB19" s="10">
        <f>if(ISNUMBER($C19), VLOOKUP(AK19, mapping!$A$2:$B99,2,false),)</f>
        <v>6</v>
      </c>
      <c r="BC19" s="10" t="str">
        <f t="shared" si="7"/>
        <v>-</v>
      </c>
      <c r="BD19" s="10">
        <f>if(ISNUMBER($C19), VLOOKUP(AM19, mapping!$A$2:$B99,2,false),)</f>
        <v>6</v>
      </c>
      <c r="BE19" s="10" t="str">
        <f t="shared" si="8"/>
        <v>-</v>
      </c>
      <c r="BF19" s="10" t="str">
        <f>if(ISNUMBER($C19), VLOOKUP(AO19, mapping!$A$2:$B99,2,false),)</f>
        <v/>
      </c>
      <c r="BG19" s="10" t="str">
        <f t="shared" si="9"/>
        <v>Som teamleder har jeg ikke så mye kontakt med konsulentselskapet. Velger derfor å ikke svare</v>
      </c>
      <c r="BH19" s="10">
        <f>if(ISNUMBER($C19), VLOOKUP(AQ19, mapping!$A$2:$B99,2,false),)</f>
        <v>6</v>
      </c>
      <c r="BI19" s="10" t="str">
        <f t="shared" ref="BI19:BJ19" si="26">if(ISNUMBER($C19), IF(AR19="Not Answered","-",AR19),)</f>
        <v>-</v>
      </c>
      <c r="BJ19" s="10" t="str">
        <f t="shared" si="26"/>
        <v>nei</v>
      </c>
    </row>
    <row r="20">
      <c r="A20" s="5">
        <f>IFERROR(__xludf.DUMMYFUNCTION("""COMPUTED_VALUE"""),1.1472803238E11)</f>
        <v>114728032380</v>
      </c>
      <c r="B20" s="11">
        <f>IFERROR(__xludf.DUMMYFUNCTION("""COMPUTED_VALUE"""),45600.68490740741)</f>
        <v>45600.68491</v>
      </c>
      <c r="C20" s="11">
        <f>IFERROR(__xludf.DUMMYFUNCTION("""COMPUTED_VALUE"""),45600.6890162037)</f>
        <v>45600.68902</v>
      </c>
      <c r="D20" s="5" t="str">
        <f>IFERROR(__xludf.DUMMYFUNCTION("""COMPUTED_VALUE"""),"88.94.38.178")</f>
        <v>88.94.38.178</v>
      </c>
      <c r="E20" s="5">
        <f>IFERROR(__xludf.DUMMYFUNCTION("""COMPUTED_VALUE"""),355.0)</f>
        <v>355</v>
      </c>
      <c r="F20" s="5" t="str">
        <f>IFERROR(__xludf.DUMMYFUNCTION("""COMPUTED_VALUE"""),"completed")</f>
        <v>completed</v>
      </c>
      <c r="G20" s="5" t="str">
        <f>IFERROR(__xludf.DUMMYFUNCTION("""COMPUTED_VALUE"""),"Not Answered")</f>
        <v>Not Answered</v>
      </c>
      <c r="H20" s="5" t="str">
        <f>IFERROR(__xludf.DUMMYFUNCTION("""COMPUTED_VALUE"""),"Not Answered")</f>
        <v>Not Answered</v>
      </c>
      <c r="I20" s="5" t="str">
        <f>IFERROR(__xludf.DUMMYFUNCTION("""COMPUTED_VALUE"""),"Not Answered")</f>
        <v>Not Answered</v>
      </c>
      <c r="J20" s="5">
        <f>IFERROR(__xludf.DUMMYFUNCTION("""COMPUTED_VALUE"""),4.33188881E8)</f>
        <v>433188881</v>
      </c>
      <c r="K20" s="5" t="str">
        <f>IFERROR(__xludf.DUMMYFUNCTION("""COMPUTED_VALUE"""),"weblink")</f>
        <v>weblink</v>
      </c>
      <c r="L20" s="5" t="str">
        <f>IFERROR(__xludf.DUMMYFUNCTION("""COMPUTED_VALUE"""),"Not Answered")</f>
        <v>Not Answered</v>
      </c>
      <c r="M20" s="5" t="str">
        <f>IFERROR(__xludf.DUMMYFUNCTION("""COMPUTED_VALUE"""),"Skatteetaten")</f>
        <v>Skatteetaten</v>
      </c>
      <c r="N20" s="5" t="str">
        <f>IFERROR(__xludf.DUMMYFUNCTION("""COMPUTED_VALUE"""),"Ole Jørgen Aurebekk")</f>
        <v>Ole Jørgen Aurebekk</v>
      </c>
      <c r="O20" s="5" t="str">
        <f>IFERROR(__xludf.DUMMYFUNCTION("""COMPUTED_VALUE"""),"Not Answered")</f>
        <v>Not Answered</v>
      </c>
      <c r="P20" s="5" t="str">
        <f>IFERROR(__xludf.DUMMYFUNCTION("""COMPUTED_VALUE"""),"Not Answered")</f>
        <v>Not Answered</v>
      </c>
      <c r="Q20" s="5" t="str">
        <f>IFERROR(__xludf.DUMMYFUNCTION("""COMPUTED_VALUE"""),"Not Answered")</f>
        <v>Not Answered</v>
      </c>
      <c r="R20" s="5" t="str">
        <f>IFERROR(__xludf.DUMMYFUNCTION("""COMPUTED_VALUE"""),"Not Answered")</f>
        <v>Not Answered</v>
      </c>
      <c r="S20" s="5" t="str">
        <f>IFERROR(__xludf.DUMMYFUNCTION("""COMPUTED_VALUE"""),"Not Answered")</f>
        <v>Not Answered</v>
      </c>
      <c r="T20" s="5" t="str">
        <f>IFERROR(__xludf.DUMMYFUNCTION("""COMPUTED_VALUE"""),"Not Answered")</f>
        <v>Not Answered</v>
      </c>
      <c r="U20" s="5" t="str">
        <f>IFERROR(__xludf.DUMMYFUNCTION("""COMPUTED_VALUE"""),"Not Answered")</f>
        <v>Not Answered</v>
      </c>
      <c r="V20" s="5" t="str">
        <f>IFERROR(__xludf.DUMMYFUNCTION("""COMPUTED_VALUE"""),"Not Answered")</f>
        <v>Not Answered</v>
      </c>
      <c r="W20" s="5" t="str">
        <f>IFERROR(__xludf.DUMMYFUNCTION("""COMPUTED_VALUE"""),"Not Answered")</f>
        <v>Not Answered</v>
      </c>
      <c r="X20" s="5" t="str">
        <f>IFERROR(__xludf.DUMMYFUNCTION("""COMPUTED_VALUE"""),"Not Answered")</f>
        <v>Not Answered</v>
      </c>
      <c r="Y20" s="5" t="str">
        <f>IFERROR(__xludf.DUMMYFUNCTION("""COMPUTED_VALUE"""),"Not Answered")</f>
        <v>Not Answered</v>
      </c>
      <c r="Z20" s="5" t="str">
        <f>IFERROR(__xludf.DUMMYFUNCTION("""COMPUTED_VALUE"""),"Not Answered")</f>
        <v>Not Answered</v>
      </c>
      <c r="AA20" s="5" t="str">
        <f>IFERROR(__xludf.DUMMYFUNCTION("""COMPUTED_VALUE"""),"Not Answered")</f>
        <v>Not Answered</v>
      </c>
      <c r="AB20" s="5" t="str">
        <f>IFERROR(__xludf.DUMMYFUNCTION("""COMPUTED_VALUE"""),"Not Answered")</f>
        <v>Not Answered</v>
      </c>
      <c r="AC20" s="5" t="str">
        <f>IFERROR(__xludf.DUMMYFUNCTION("""COMPUTED_VALUE"""),"Not Answered")</f>
        <v>Not Answered</v>
      </c>
      <c r="AD20" s="5" t="str">
        <f>IFERROR(__xludf.DUMMYFUNCTION("""COMPUTED_VALUE"""),"Not Answered")</f>
        <v>Not Answered</v>
      </c>
      <c r="AE20" s="5" t="str">
        <f>IFERROR(__xludf.DUMMYFUNCTION("""COMPUTED_VALUE"""),"Not Answered")</f>
        <v>Not Answered</v>
      </c>
      <c r="AF20" s="5" t="str">
        <f>IFERROR(__xludf.DUMMYFUNCTION("""COMPUTED_VALUE"""),"Not Answered")</f>
        <v>Not Answered</v>
      </c>
      <c r="AG20" s="5" t="str">
        <f>IFERROR(__xludf.DUMMYFUNCTION("""COMPUTED_VALUE"""),"Svært fornøyd")</f>
        <v>Svært fornøyd</v>
      </c>
      <c r="AH20" s="5" t="str">
        <f>IFERROR(__xludf.DUMMYFUNCTION("""COMPUTED_VALUE"""),"Ole Jørgen har vært hos oss i mange år og gjør en utmerket jobb. ")</f>
        <v>Ole Jørgen har vært hos oss i mange år og gjør en utmerket jobb. </v>
      </c>
      <c r="AI20" s="5" t="str">
        <f>IFERROR(__xludf.DUMMYFUNCTION("""COMPUTED_VALUE"""),"I stor grad")</f>
        <v>I stor grad</v>
      </c>
      <c r="AJ20" s="5" t="str">
        <f>IFERROR(__xludf.DUMMYFUNCTION("""COMPUTED_VALUE"""),"Not Answered")</f>
        <v>Not Answered</v>
      </c>
      <c r="AK20" s="5" t="str">
        <f>IFERROR(__xludf.DUMMYFUNCTION("""COMPUTED_VALUE"""),"Svært fornøyd")</f>
        <v>Svært fornøyd</v>
      </c>
      <c r="AL20" s="5" t="str">
        <f>IFERROR(__xludf.DUMMYFUNCTION("""COMPUTED_VALUE"""),"Konsumenten ledet et kompetansetiltak knyttet til AI for oss og deler ellers av sin kunnskap. ")</f>
        <v>Konsumenten ledet et kompetansetiltak knyttet til AI for oss og deler ellers av sin kunnskap. </v>
      </c>
      <c r="AM20" s="5" t="str">
        <f>IFERROR(__xludf.DUMMYFUNCTION("""COMPUTED_VALUE"""),"Svært fornøyd")</f>
        <v>Svært fornøyd</v>
      </c>
      <c r="AN20" s="5" t="str">
        <f>IFERROR(__xludf.DUMMYFUNCTION("""COMPUTED_VALUE"""),"Konsulenten fingere godt i teamet der han er. ")</f>
        <v>Konsulenten fingere godt i teamet der han er. </v>
      </c>
      <c r="AO20" s="5" t="str">
        <f>IFERROR(__xludf.DUMMYFUNCTION("""COMPUTED_VALUE"""),"Not Answered")</f>
        <v>Not Answered</v>
      </c>
      <c r="AP20" s="5" t="str">
        <f>IFERROR(__xludf.DUMMYFUNCTION("""COMPUTED_VALUE"""),"Not Answered")</f>
        <v>Not Answered</v>
      </c>
      <c r="AQ20" s="5" t="str">
        <f>IFERROR(__xludf.DUMMYFUNCTION("""COMPUTED_VALUE"""),"I stor grad")</f>
        <v>I stor grad</v>
      </c>
      <c r="AR20" s="5" t="str">
        <f>IFERROR(__xludf.DUMMYFUNCTION("""COMPUTED_VALUE"""),"Konsulentene våre gir et helt nødvendig bidrag.")</f>
        <v>Konsulentene våre gir et helt nødvendig bidrag.</v>
      </c>
      <c r="AS20" s="5" t="str">
        <f>IFERROR(__xludf.DUMMYFUNCTION("""COMPUTED_VALUE"""),"Ikke akkurat nå. ")</f>
        <v>Ikke akkurat nå. </v>
      </c>
      <c r="AT20" s="11">
        <f t="shared" si="3"/>
        <v>45600.68491</v>
      </c>
      <c r="AU20" s="5" t="str">
        <f t="shared" si="4"/>
        <v>Skatteetaten</v>
      </c>
      <c r="AV20" s="5" t="str">
        <f>IFERROR(__xludf.DUMMYFUNCTION("if(ISNUMBER(A20),FILTER(N20:AF20,REGEXMATCH(N20:AF20, ""Not Answered"")=FALSE),)"),"Ole Jørgen Aurebekk")</f>
        <v>Ole Jørgen Aurebekk</v>
      </c>
      <c r="AW20" s="5" t="str">
        <f>if(ISNUMBER($C20), VLOOKUP(AV20, konsulenter!$A$1:$B99,2,false),)</f>
        <v>#N/A</v>
      </c>
      <c r="AX20" s="10">
        <f>if(ISNUMBER($C20), VLOOKUP(AG20, mapping!$A$2:$B99,2,false),)</f>
        <v>6</v>
      </c>
      <c r="AY20" s="10" t="str">
        <f t="shared" si="5"/>
        <v>Ole Jørgen har vært hos oss i mange år og gjør en utmerket jobb. </v>
      </c>
      <c r="AZ20" s="10">
        <f>if(ISNUMBER($C20), VLOOKUP(AI20, mapping!$A$2:$B99,2,false),)</f>
        <v>6</v>
      </c>
      <c r="BA20" s="10" t="str">
        <f t="shared" si="6"/>
        <v>-</v>
      </c>
      <c r="BB20" s="10">
        <f>if(ISNUMBER($C20), VLOOKUP(AK20, mapping!$A$2:$B99,2,false),)</f>
        <v>6</v>
      </c>
      <c r="BC20" s="10" t="str">
        <f t="shared" si="7"/>
        <v>Konsumenten ledet et kompetansetiltak knyttet til AI for oss og deler ellers av sin kunnskap. </v>
      </c>
      <c r="BD20" s="10">
        <f>if(ISNUMBER($C20), VLOOKUP(AM20, mapping!$A$2:$B99,2,false),)</f>
        <v>6</v>
      </c>
      <c r="BE20" s="10" t="str">
        <f t="shared" si="8"/>
        <v>Konsulenten fingere godt i teamet der han er. </v>
      </c>
      <c r="BF20" s="10" t="str">
        <f>if(ISNUMBER($C20), VLOOKUP(AO20, mapping!$A$2:$B99,2,false),)</f>
        <v/>
      </c>
      <c r="BG20" s="10" t="str">
        <f t="shared" si="9"/>
        <v>-</v>
      </c>
      <c r="BH20" s="10">
        <f>if(ISNUMBER($C20), VLOOKUP(AQ20, mapping!$A$2:$B99,2,false),)</f>
        <v>6</v>
      </c>
      <c r="BI20" s="10" t="str">
        <f t="shared" ref="BI20:BJ20" si="27">if(ISNUMBER($C20), IF(AR20="Not Answered","-",AR20),)</f>
        <v>Konsulentene våre gir et helt nødvendig bidrag.</v>
      </c>
      <c r="BJ20" s="10" t="str">
        <f t="shared" si="27"/>
        <v>Ikke akkurat nå. </v>
      </c>
    </row>
    <row r="21">
      <c r="A21" s="5">
        <f>IFERROR(__xludf.DUMMYFUNCTION("""COMPUTED_VALUE"""),1.14728662991E11)</f>
        <v>114728662991</v>
      </c>
      <c r="B21" s="11">
        <f>IFERROR(__xludf.DUMMYFUNCTION("""COMPUTED_VALUE"""),45601.31671296296)</f>
        <v>45601.31671</v>
      </c>
      <c r="C21" s="11">
        <f>IFERROR(__xludf.DUMMYFUNCTION("""COMPUTED_VALUE"""),45601.32163194445)</f>
        <v>45601.32163</v>
      </c>
      <c r="D21" s="5" t="str">
        <f>IFERROR(__xludf.DUMMYFUNCTION("""COMPUTED_VALUE"""),"151.187.161.6")</f>
        <v>151.187.161.6</v>
      </c>
      <c r="E21" s="5">
        <f>IFERROR(__xludf.DUMMYFUNCTION("""COMPUTED_VALUE"""),425.0)</f>
        <v>425</v>
      </c>
      <c r="F21" s="5" t="str">
        <f>IFERROR(__xludf.DUMMYFUNCTION("""COMPUTED_VALUE"""),"completed")</f>
        <v>completed</v>
      </c>
      <c r="G21" s="5" t="str">
        <f>IFERROR(__xludf.DUMMYFUNCTION("""COMPUTED_VALUE"""),"Not Answered")</f>
        <v>Not Answered</v>
      </c>
      <c r="H21" s="5" t="str">
        <f>IFERROR(__xludf.DUMMYFUNCTION("""COMPUTED_VALUE"""),"Not Answered")</f>
        <v>Not Answered</v>
      </c>
      <c r="I21" s="5" t="str">
        <f>IFERROR(__xludf.DUMMYFUNCTION("""COMPUTED_VALUE"""),"Not Answered")</f>
        <v>Not Answered</v>
      </c>
      <c r="J21" s="5">
        <f>IFERROR(__xludf.DUMMYFUNCTION("""COMPUTED_VALUE"""),4.33188881E8)</f>
        <v>433188881</v>
      </c>
      <c r="K21" s="5" t="str">
        <f>IFERROR(__xludf.DUMMYFUNCTION("""COMPUTED_VALUE"""),"weblink")</f>
        <v>weblink</v>
      </c>
      <c r="L21" s="5" t="str">
        <f>IFERROR(__xludf.DUMMYFUNCTION("""COMPUTED_VALUE"""),"Not Answered")</f>
        <v>Not Answered</v>
      </c>
      <c r="M21" s="5" t="str">
        <f>IFERROR(__xludf.DUMMYFUNCTION("""COMPUTED_VALUE"""),"Skatteetaten")</f>
        <v>Skatteetaten</v>
      </c>
      <c r="N21" s="5" t="str">
        <f>IFERROR(__xludf.DUMMYFUNCTION("""COMPUTED_VALUE"""),"Ivar Gjessing")</f>
        <v>Ivar Gjessing</v>
      </c>
      <c r="O21" s="5" t="str">
        <f>IFERROR(__xludf.DUMMYFUNCTION("""COMPUTED_VALUE"""),"Not Answered")</f>
        <v>Not Answered</v>
      </c>
      <c r="P21" s="5" t="str">
        <f>IFERROR(__xludf.DUMMYFUNCTION("""COMPUTED_VALUE"""),"Not Answered")</f>
        <v>Not Answered</v>
      </c>
      <c r="Q21" s="5" t="str">
        <f>IFERROR(__xludf.DUMMYFUNCTION("""COMPUTED_VALUE"""),"Not Answered")</f>
        <v>Not Answered</v>
      </c>
      <c r="R21" s="5" t="str">
        <f>IFERROR(__xludf.DUMMYFUNCTION("""COMPUTED_VALUE"""),"Not Answered")</f>
        <v>Not Answered</v>
      </c>
      <c r="S21" s="5" t="str">
        <f>IFERROR(__xludf.DUMMYFUNCTION("""COMPUTED_VALUE"""),"Not Answered")</f>
        <v>Not Answered</v>
      </c>
      <c r="T21" s="5" t="str">
        <f>IFERROR(__xludf.DUMMYFUNCTION("""COMPUTED_VALUE"""),"Not Answered")</f>
        <v>Not Answered</v>
      </c>
      <c r="U21" s="5" t="str">
        <f>IFERROR(__xludf.DUMMYFUNCTION("""COMPUTED_VALUE"""),"Not Answered")</f>
        <v>Not Answered</v>
      </c>
      <c r="V21" s="5" t="str">
        <f>IFERROR(__xludf.DUMMYFUNCTION("""COMPUTED_VALUE"""),"Not Answered")</f>
        <v>Not Answered</v>
      </c>
      <c r="W21" s="5" t="str">
        <f>IFERROR(__xludf.DUMMYFUNCTION("""COMPUTED_VALUE"""),"Not Answered")</f>
        <v>Not Answered</v>
      </c>
      <c r="X21" s="5" t="str">
        <f>IFERROR(__xludf.DUMMYFUNCTION("""COMPUTED_VALUE"""),"Not Answered")</f>
        <v>Not Answered</v>
      </c>
      <c r="Y21" s="5" t="str">
        <f>IFERROR(__xludf.DUMMYFUNCTION("""COMPUTED_VALUE"""),"Not Answered")</f>
        <v>Not Answered</v>
      </c>
      <c r="Z21" s="5" t="str">
        <f>IFERROR(__xludf.DUMMYFUNCTION("""COMPUTED_VALUE"""),"Not Answered")</f>
        <v>Not Answered</v>
      </c>
      <c r="AA21" s="5" t="str">
        <f>IFERROR(__xludf.DUMMYFUNCTION("""COMPUTED_VALUE"""),"Not Answered")</f>
        <v>Not Answered</v>
      </c>
      <c r="AB21" s="5" t="str">
        <f>IFERROR(__xludf.DUMMYFUNCTION("""COMPUTED_VALUE"""),"Not Answered")</f>
        <v>Not Answered</v>
      </c>
      <c r="AC21" s="5" t="str">
        <f>IFERROR(__xludf.DUMMYFUNCTION("""COMPUTED_VALUE"""),"Not Answered")</f>
        <v>Not Answered</v>
      </c>
      <c r="AD21" s="5" t="str">
        <f>IFERROR(__xludf.DUMMYFUNCTION("""COMPUTED_VALUE"""),"Not Answered")</f>
        <v>Not Answered</v>
      </c>
      <c r="AE21" s="5" t="str">
        <f>IFERROR(__xludf.DUMMYFUNCTION("""COMPUTED_VALUE"""),"Not Answered")</f>
        <v>Not Answered</v>
      </c>
      <c r="AF21" s="5" t="str">
        <f>IFERROR(__xludf.DUMMYFUNCTION("""COMPUTED_VALUE"""),"Not Answered")</f>
        <v>Not Answered</v>
      </c>
      <c r="AG21" s="5" t="str">
        <f>IFERROR(__xludf.DUMMYFUNCTION("""COMPUTED_VALUE"""),"Ganske fornøyd")</f>
        <v>Ganske fornøyd</v>
      </c>
      <c r="AH21" s="5" t="str">
        <f>IFERROR(__xludf.DUMMYFUNCTION("""COMPUTED_VALUE"""),"Ivar har ikke vært her så lenge enda så litt tidlig å gi en skikkelig tilbakemelding")</f>
        <v>Ivar har ikke vært her så lenge enda så litt tidlig å gi en skikkelig tilbakemelding</v>
      </c>
      <c r="AI21" s="5" t="str">
        <f>IFERROR(__xludf.DUMMYFUNCTION("""COMPUTED_VALUE"""),"I stor grad")</f>
        <v>I stor grad</v>
      </c>
      <c r="AJ21" s="5" t="str">
        <f>IFERROR(__xludf.DUMMYFUNCTION("""COMPUTED_VALUE"""),"Not Answered")</f>
        <v>Not Answered</v>
      </c>
      <c r="AK21" s="5" t="str">
        <f>IFERROR(__xludf.DUMMYFUNCTION("""COMPUTED_VALUE"""),"Svært fornøyd")</f>
        <v>Svært fornøyd</v>
      </c>
      <c r="AL21" s="5" t="str">
        <f>IFERROR(__xludf.DUMMYFUNCTION("""COMPUTED_VALUE"""),"Han virker å løse oppgavene han får på en god måte")</f>
        <v>Han virker å løse oppgavene han får på en god måte</v>
      </c>
      <c r="AM21" s="5" t="str">
        <f>IFERROR(__xludf.DUMMYFUNCTION("""COMPUTED_VALUE"""),"Svært fornøyd")</f>
        <v>Svært fornøyd</v>
      </c>
      <c r="AN21" s="5" t="str">
        <f>IFERROR(__xludf.DUMMYFUNCTION("""COMPUTED_VALUE"""),"Ivar er flink til å involvere de rundt seg ved behov og samarbeider godt med teamet")</f>
        <v>Ivar er flink til å involvere de rundt seg ved behov og samarbeider godt med teamet</v>
      </c>
      <c r="AO21" s="5" t="str">
        <f>IFERROR(__xludf.DUMMYFUNCTION("""COMPUTED_VALUE"""),"Not Answered")</f>
        <v>Not Answered</v>
      </c>
      <c r="AP21" s="5" t="str">
        <f>IFERROR(__xludf.DUMMYFUNCTION("""COMPUTED_VALUE"""),"Not Answered")</f>
        <v>Not Answered</v>
      </c>
      <c r="AQ21" s="5" t="str">
        <f>IFERROR(__xludf.DUMMYFUNCTION("""COMPUTED_VALUE"""),"I stor grad")</f>
        <v>I stor grad</v>
      </c>
      <c r="AR21" s="5" t="str">
        <f>IFERROR(__xludf.DUMMYFUNCTION("""COMPUTED_VALUE"""),"Not Answered")</f>
        <v>Not Answered</v>
      </c>
      <c r="AS21" s="5" t="str">
        <f>IFERROR(__xludf.DUMMYFUNCTION("""COMPUTED_VALUE"""),"Ikke p.t.")</f>
        <v>Ikke p.t.</v>
      </c>
      <c r="AT21" s="11">
        <f t="shared" si="3"/>
        <v>45601.31671</v>
      </c>
      <c r="AU21" s="5" t="str">
        <f t="shared" si="4"/>
        <v>Skatteetaten</v>
      </c>
      <c r="AV21" s="5" t="str">
        <f>IFERROR(__xludf.DUMMYFUNCTION("if(ISNUMBER(A21),FILTER(N21:AF21,REGEXMATCH(N21:AF21, ""Not Answered"")=FALSE),)"),"Ivar Gjessing")</f>
        <v>Ivar Gjessing</v>
      </c>
      <c r="AW21" s="5" t="str">
        <f>if(ISNUMBER($C21), VLOOKUP(AV21, konsulenter!$A$1:$B99,2,false),)</f>
        <v>#N/A</v>
      </c>
      <c r="AX21" s="10">
        <f>if(ISNUMBER($C21), VLOOKUP(AG21, mapping!$A$2:$B99,2,false),)</f>
        <v>5</v>
      </c>
      <c r="AY21" s="10" t="str">
        <f t="shared" si="5"/>
        <v>Ivar har ikke vært her så lenge enda så litt tidlig å gi en skikkelig tilbakemelding</v>
      </c>
      <c r="AZ21" s="10">
        <f>if(ISNUMBER($C21), VLOOKUP(AI21, mapping!$A$2:$B99,2,false),)</f>
        <v>6</v>
      </c>
      <c r="BA21" s="10" t="str">
        <f t="shared" si="6"/>
        <v>-</v>
      </c>
      <c r="BB21" s="10">
        <f>if(ISNUMBER($C21), VLOOKUP(AK21, mapping!$A$2:$B99,2,false),)</f>
        <v>6</v>
      </c>
      <c r="BC21" s="10" t="str">
        <f t="shared" si="7"/>
        <v>Han virker å løse oppgavene han får på en god måte</v>
      </c>
      <c r="BD21" s="10">
        <f>if(ISNUMBER($C21), VLOOKUP(AM21, mapping!$A$2:$B99,2,false),)</f>
        <v>6</v>
      </c>
      <c r="BE21" s="10" t="str">
        <f t="shared" si="8"/>
        <v>Ivar er flink til å involvere de rundt seg ved behov og samarbeider godt med teamet</v>
      </c>
      <c r="BF21" s="10" t="str">
        <f>if(ISNUMBER($C21), VLOOKUP(AO21, mapping!$A$2:$B99,2,false),)</f>
        <v/>
      </c>
      <c r="BG21" s="10" t="str">
        <f t="shared" si="9"/>
        <v>-</v>
      </c>
      <c r="BH21" s="10">
        <f>if(ISNUMBER($C21), VLOOKUP(AQ21, mapping!$A$2:$B99,2,false),)</f>
        <v>6</v>
      </c>
      <c r="BI21" s="10" t="str">
        <f t="shared" ref="BI21:BJ21" si="28">if(ISNUMBER($C21), IF(AR21="Not Answered","-",AR21),)</f>
        <v>-</v>
      </c>
      <c r="BJ21" s="10" t="str">
        <f t="shared" si="28"/>
        <v>Ikke p.t.</v>
      </c>
    </row>
    <row r="22">
      <c r="A22" s="5">
        <f>IFERROR(__xludf.DUMMYFUNCTION("""COMPUTED_VALUE"""),1.14728671687E11)</f>
        <v>114728671687</v>
      </c>
      <c r="B22" s="11">
        <f>IFERROR(__xludf.DUMMYFUNCTION("""COMPUTED_VALUE"""),45601.33206018519)</f>
        <v>45601.33206</v>
      </c>
      <c r="C22" s="11">
        <f>IFERROR(__xludf.DUMMYFUNCTION("""COMPUTED_VALUE"""),45601.33454861111)</f>
        <v>45601.33455</v>
      </c>
      <c r="D22" s="5" t="str">
        <f>IFERROR(__xludf.DUMMYFUNCTION("""COMPUTED_VALUE"""),"151.187.161.6")</f>
        <v>151.187.161.6</v>
      </c>
      <c r="E22" s="5">
        <f>IFERROR(__xludf.DUMMYFUNCTION("""COMPUTED_VALUE"""),215.0)</f>
        <v>215</v>
      </c>
      <c r="F22" s="5" t="str">
        <f>IFERROR(__xludf.DUMMYFUNCTION("""COMPUTED_VALUE"""),"completed")</f>
        <v>completed</v>
      </c>
      <c r="G22" s="5" t="str">
        <f>IFERROR(__xludf.DUMMYFUNCTION("""COMPUTED_VALUE"""),"Not Answered")</f>
        <v>Not Answered</v>
      </c>
      <c r="H22" s="5" t="str">
        <f>IFERROR(__xludf.DUMMYFUNCTION("""COMPUTED_VALUE"""),"Not Answered")</f>
        <v>Not Answered</v>
      </c>
      <c r="I22" s="5" t="str">
        <f>IFERROR(__xludf.DUMMYFUNCTION("""COMPUTED_VALUE"""),"Not Answered")</f>
        <v>Not Answered</v>
      </c>
      <c r="J22" s="5">
        <f>IFERROR(__xludf.DUMMYFUNCTION("""COMPUTED_VALUE"""),4.33188881E8)</f>
        <v>433188881</v>
      </c>
      <c r="K22" s="5" t="str">
        <f>IFERROR(__xludf.DUMMYFUNCTION("""COMPUTED_VALUE"""),"weblink")</f>
        <v>weblink</v>
      </c>
      <c r="L22" s="5" t="str">
        <f>IFERROR(__xludf.DUMMYFUNCTION("""COMPUTED_VALUE"""),"Not Answered")</f>
        <v>Not Answered</v>
      </c>
      <c r="M22" s="5" t="str">
        <f>IFERROR(__xludf.DUMMYFUNCTION("""COMPUTED_VALUE"""),"Skatteetaten")</f>
        <v>Skatteetaten</v>
      </c>
      <c r="N22" s="5" t="str">
        <f>IFERROR(__xludf.DUMMYFUNCTION("""COMPUTED_VALUE"""),"Magnus Skuland")</f>
        <v>Magnus Skuland</v>
      </c>
      <c r="O22" s="5" t="str">
        <f>IFERROR(__xludf.DUMMYFUNCTION("""COMPUTED_VALUE"""),"Not Answered")</f>
        <v>Not Answered</v>
      </c>
      <c r="P22" s="5" t="str">
        <f>IFERROR(__xludf.DUMMYFUNCTION("""COMPUTED_VALUE"""),"Not Answered")</f>
        <v>Not Answered</v>
      </c>
      <c r="Q22" s="5" t="str">
        <f>IFERROR(__xludf.DUMMYFUNCTION("""COMPUTED_VALUE"""),"Not Answered")</f>
        <v>Not Answered</v>
      </c>
      <c r="R22" s="5" t="str">
        <f>IFERROR(__xludf.DUMMYFUNCTION("""COMPUTED_VALUE"""),"Not Answered")</f>
        <v>Not Answered</v>
      </c>
      <c r="S22" s="5" t="str">
        <f>IFERROR(__xludf.DUMMYFUNCTION("""COMPUTED_VALUE"""),"Not Answered")</f>
        <v>Not Answered</v>
      </c>
      <c r="T22" s="5" t="str">
        <f>IFERROR(__xludf.DUMMYFUNCTION("""COMPUTED_VALUE"""),"Not Answered")</f>
        <v>Not Answered</v>
      </c>
      <c r="U22" s="5" t="str">
        <f>IFERROR(__xludf.DUMMYFUNCTION("""COMPUTED_VALUE"""),"Not Answered")</f>
        <v>Not Answered</v>
      </c>
      <c r="V22" s="5" t="str">
        <f>IFERROR(__xludf.DUMMYFUNCTION("""COMPUTED_VALUE"""),"Not Answered")</f>
        <v>Not Answered</v>
      </c>
      <c r="W22" s="5" t="str">
        <f>IFERROR(__xludf.DUMMYFUNCTION("""COMPUTED_VALUE"""),"Not Answered")</f>
        <v>Not Answered</v>
      </c>
      <c r="X22" s="5" t="str">
        <f>IFERROR(__xludf.DUMMYFUNCTION("""COMPUTED_VALUE"""),"Not Answered")</f>
        <v>Not Answered</v>
      </c>
      <c r="Y22" s="5" t="str">
        <f>IFERROR(__xludf.DUMMYFUNCTION("""COMPUTED_VALUE"""),"Not Answered")</f>
        <v>Not Answered</v>
      </c>
      <c r="Z22" s="5" t="str">
        <f>IFERROR(__xludf.DUMMYFUNCTION("""COMPUTED_VALUE"""),"Not Answered")</f>
        <v>Not Answered</v>
      </c>
      <c r="AA22" s="5" t="str">
        <f>IFERROR(__xludf.DUMMYFUNCTION("""COMPUTED_VALUE"""),"Not Answered")</f>
        <v>Not Answered</v>
      </c>
      <c r="AB22" s="5" t="str">
        <f>IFERROR(__xludf.DUMMYFUNCTION("""COMPUTED_VALUE"""),"Not Answered")</f>
        <v>Not Answered</v>
      </c>
      <c r="AC22" s="5" t="str">
        <f>IFERROR(__xludf.DUMMYFUNCTION("""COMPUTED_VALUE"""),"Not Answered")</f>
        <v>Not Answered</v>
      </c>
      <c r="AD22" s="5" t="str">
        <f>IFERROR(__xludf.DUMMYFUNCTION("""COMPUTED_VALUE"""),"Not Answered")</f>
        <v>Not Answered</v>
      </c>
      <c r="AE22" s="5" t="str">
        <f>IFERROR(__xludf.DUMMYFUNCTION("""COMPUTED_VALUE"""),"Not Answered")</f>
        <v>Not Answered</v>
      </c>
      <c r="AF22" s="5" t="str">
        <f>IFERROR(__xludf.DUMMYFUNCTION("""COMPUTED_VALUE"""),"Not Answered")</f>
        <v>Not Answered</v>
      </c>
      <c r="AG22" s="5" t="str">
        <f>IFERROR(__xludf.DUMMYFUNCTION("""COMPUTED_VALUE"""),"Svært fornøyd")</f>
        <v>Svært fornøyd</v>
      </c>
      <c r="AH22" s="5" t="str">
        <f>IFERROR(__xludf.DUMMYFUNCTION("""COMPUTED_VALUE"""),"Magnus jobber effektivt og setter seg raskt inn i mer komplekse problemer. Han tar eierskap til det han jobber med og svarer også ut de som tar kontakt utenfor teamet.")</f>
        <v>Magnus jobber effektivt og setter seg raskt inn i mer komplekse problemer. Han tar eierskap til det han jobber med og svarer også ut de som tar kontakt utenfor teamet.</v>
      </c>
      <c r="AI22" s="5" t="str">
        <f>IFERROR(__xludf.DUMMYFUNCTION("""COMPUTED_VALUE"""),"I stor grad")</f>
        <v>I stor grad</v>
      </c>
      <c r="AJ22" s="5" t="str">
        <f>IFERROR(__xludf.DUMMYFUNCTION("""COMPUTED_VALUE"""),"Not Answered")</f>
        <v>Not Answered</v>
      </c>
      <c r="AK22" s="5" t="str">
        <f>IFERROR(__xludf.DUMMYFUNCTION("""COMPUTED_VALUE"""),"Svært fornøyd")</f>
        <v>Svært fornøyd</v>
      </c>
      <c r="AL22" s="5" t="str">
        <f>IFERROR(__xludf.DUMMYFUNCTION("""COMPUTED_VALUE"""),"Magnus er alltid åpen for å bistå når kollegaer trenger hjelp eller noen å sparre med, han deler også av egen erfaring i andre settinger.")</f>
        <v>Magnus er alltid åpen for å bistå når kollegaer trenger hjelp eller noen å sparre med, han deler også av egen erfaring i andre settinger.</v>
      </c>
      <c r="AM22" s="5" t="str">
        <f>IFERROR(__xludf.DUMMYFUNCTION("""COMPUTED_VALUE"""),"Svært fornøyd")</f>
        <v>Svært fornøyd</v>
      </c>
      <c r="AN22" s="5" t="str">
        <f>IFERROR(__xludf.DUMMYFUNCTION("""COMPUTED_VALUE"""),"Magnus samarbeider godt med de andre i teamet og folk utenfor.")</f>
        <v>Magnus samarbeider godt med de andre i teamet og folk utenfor.</v>
      </c>
      <c r="AO22" s="5" t="str">
        <f>IFERROR(__xludf.DUMMYFUNCTION("""COMPUTED_VALUE"""),"Not Answered")</f>
        <v>Not Answered</v>
      </c>
      <c r="AP22" s="5" t="str">
        <f>IFERROR(__xludf.DUMMYFUNCTION("""COMPUTED_VALUE"""),"Not Answered")</f>
        <v>Not Answered</v>
      </c>
      <c r="AQ22" s="5" t="str">
        <f>IFERROR(__xludf.DUMMYFUNCTION("""COMPUTED_VALUE"""),"I stor grad")</f>
        <v>I stor grad</v>
      </c>
      <c r="AR22" s="5" t="str">
        <f>IFERROR(__xludf.DUMMYFUNCTION("""COMPUTED_VALUE"""),"Not Answered")</f>
        <v>Not Answered</v>
      </c>
      <c r="AS22" s="5" t="str">
        <f>IFERROR(__xludf.DUMMYFUNCTION("""COMPUTED_VALUE"""),"Ikke p.t.")</f>
        <v>Ikke p.t.</v>
      </c>
      <c r="AT22" s="11">
        <f t="shared" si="3"/>
        <v>45601.33206</v>
      </c>
      <c r="AU22" s="5" t="str">
        <f t="shared" si="4"/>
        <v>Skatteetaten</v>
      </c>
      <c r="AV22" s="5" t="str">
        <f>IFERROR(__xludf.DUMMYFUNCTION("if(ISNUMBER(A22),FILTER(N22:AF22,REGEXMATCH(N22:AF22, ""Not Answered"")=FALSE),)"),"Magnus Skuland")</f>
        <v>Magnus Skuland</v>
      </c>
      <c r="AW22" s="5" t="str">
        <f>if(ISNUMBER($C22), VLOOKUP(AV22, konsulenter!$A$1:$B99,2,false),)</f>
        <v>#N/A</v>
      </c>
      <c r="AX22" s="10">
        <f>if(ISNUMBER($C22), VLOOKUP(AG22, mapping!$A$2:$B99,2,false),)</f>
        <v>6</v>
      </c>
      <c r="AY22" s="10" t="str">
        <f t="shared" si="5"/>
        <v>Magnus jobber effektivt og setter seg raskt inn i mer komplekse problemer. Han tar eierskap til det han jobber med og svarer også ut de som tar kontakt utenfor teamet.</v>
      </c>
      <c r="AZ22" s="10">
        <f>if(ISNUMBER($C22), VLOOKUP(AI22, mapping!$A$2:$B99,2,false),)</f>
        <v>6</v>
      </c>
      <c r="BA22" s="10" t="str">
        <f t="shared" si="6"/>
        <v>-</v>
      </c>
      <c r="BB22" s="10">
        <f>if(ISNUMBER($C22), VLOOKUP(AK22, mapping!$A$2:$B99,2,false),)</f>
        <v>6</v>
      </c>
      <c r="BC22" s="10" t="str">
        <f t="shared" si="7"/>
        <v>Magnus er alltid åpen for å bistå når kollegaer trenger hjelp eller noen å sparre med, han deler også av egen erfaring i andre settinger.</v>
      </c>
      <c r="BD22" s="10">
        <f>if(ISNUMBER($C22), VLOOKUP(AM22, mapping!$A$2:$B99,2,false),)</f>
        <v>6</v>
      </c>
      <c r="BE22" s="10" t="str">
        <f t="shared" si="8"/>
        <v>Magnus samarbeider godt med de andre i teamet og folk utenfor.</v>
      </c>
      <c r="BF22" s="10" t="str">
        <f>if(ISNUMBER($C22), VLOOKUP(AO22, mapping!$A$2:$B99,2,false),)</f>
        <v/>
      </c>
      <c r="BG22" s="10" t="str">
        <f t="shared" si="9"/>
        <v>-</v>
      </c>
      <c r="BH22" s="10">
        <f>if(ISNUMBER($C22), VLOOKUP(AQ22, mapping!$A$2:$B99,2,false),)</f>
        <v>6</v>
      </c>
      <c r="BI22" s="10" t="str">
        <f t="shared" ref="BI22:BJ22" si="29">if(ISNUMBER($C22), IF(AR22="Not Answered","-",AR22),)</f>
        <v>-</v>
      </c>
      <c r="BJ22" s="10" t="str">
        <f t="shared" si="29"/>
        <v>Ikke p.t.</v>
      </c>
    </row>
    <row r="23">
      <c r="A23" s="5">
        <f>IFERROR(__xludf.DUMMYFUNCTION("""COMPUTED_VALUE"""),1.14728673284E11)</f>
        <v>114728673284</v>
      </c>
      <c r="B23" s="11">
        <f>IFERROR(__xludf.DUMMYFUNCTION("""COMPUTED_VALUE"""),45601.334745370375)</f>
        <v>45601.33475</v>
      </c>
      <c r="C23" s="11">
        <f>IFERROR(__xludf.DUMMYFUNCTION("""COMPUTED_VALUE"""),45601.34025462963)</f>
        <v>45601.34025</v>
      </c>
      <c r="D23" s="5" t="str">
        <f>IFERROR(__xludf.DUMMYFUNCTION("""COMPUTED_VALUE"""),"151.187.161.6")</f>
        <v>151.187.161.6</v>
      </c>
      <c r="E23" s="5">
        <f>IFERROR(__xludf.DUMMYFUNCTION("""COMPUTED_VALUE"""),476.0)</f>
        <v>476</v>
      </c>
      <c r="F23" s="5" t="str">
        <f>IFERROR(__xludf.DUMMYFUNCTION("""COMPUTED_VALUE"""),"completed")</f>
        <v>completed</v>
      </c>
      <c r="G23" s="5" t="str">
        <f>IFERROR(__xludf.DUMMYFUNCTION("""COMPUTED_VALUE"""),"Not Answered")</f>
        <v>Not Answered</v>
      </c>
      <c r="H23" s="5" t="str">
        <f>IFERROR(__xludf.DUMMYFUNCTION("""COMPUTED_VALUE"""),"Not Answered")</f>
        <v>Not Answered</v>
      </c>
      <c r="I23" s="5" t="str">
        <f>IFERROR(__xludf.DUMMYFUNCTION("""COMPUTED_VALUE"""),"Not Answered")</f>
        <v>Not Answered</v>
      </c>
      <c r="J23" s="5">
        <f>IFERROR(__xludf.DUMMYFUNCTION("""COMPUTED_VALUE"""),4.33188881E8)</f>
        <v>433188881</v>
      </c>
      <c r="K23" s="5" t="str">
        <f>IFERROR(__xludf.DUMMYFUNCTION("""COMPUTED_VALUE"""),"weblink")</f>
        <v>weblink</v>
      </c>
      <c r="L23" s="5" t="str">
        <f>IFERROR(__xludf.DUMMYFUNCTION("""COMPUTED_VALUE"""),"Not Answered")</f>
        <v>Not Answered</v>
      </c>
      <c r="M23" s="5" t="str">
        <f>IFERROR(__xludf.DUMMYFUNCTION("""COMPUTED_VALUE"""),"Skatteetaten")</f>
        <v>Skatteetaten</v>
      </c>
      <c r="N23" s="5" t="str">
        <f>IFERROR(__xludf.DUMMYFUNCTION("""COMPUTED_VALUE"""),"Sverre Kristian Valskrå")</f>
        <v>Sverre Kristian Valskrå</v>
      </c>
      <c r="O23" s="5" t="str">
        <f>IFERROR(__xludf.DUMMYFUNCTION("""COMPUTED_VALUE"""),"Not Answered")</f>
        <v>Not Answered</v>
      </c>
      <c r="P23" s="5" t="str">
        <f>IFERROR(__xludf.DUMMYFUNCTION("""COMPUTED_VALUE"""),"Not Answered")</f>
        <v>Not Answered</v>
      </c>
      <c r="Q23" s="5" t="str">
        <f>IFERROR(__xludf.DUMMYFUNCTION("""COMPUTED_VALUE"""),"Not Answered")</f>
        <v>Not Answered</v>
      </c>
      <c r="R23" s="5" t="str">
        <f>IFERROR(__xludf.DUMMYFUNCTION("""COMPUTED_VALUE"""),"Not Answered")</f>
        <v>Not Answered</v>
      </c>
      <c r="S23" s="5" t="str">
        <f>IFERROR(__xludf.DUMMYFUNCTION("""COMPUTED_VALUE"""),"Not Answered")</f>
        <v>Not Answered</v>
      </c>
      <c r="T23" s="5" t="str">
        <f>IFERROR(__xludf.DUMMYFUNCTION("""COMPUTED_VALUE"""),"Not Answered")</f>
        <v>Not Answered</v>
      </c>
      <c r="U23" s="5" t="str">
        <f>IFERROR(__xludf.DUMMYFUNCTION("""COMPUTED_VALUE"""),"Not Answered")</f>
        <v>Not Answered</v>
      </c>
      <c r="V23" s="5" t="str">
        <f>IFERROR(__xludf.DUMMYFUNCTION("""COMPUTED_VALUE"""),"Not Answered")</f>
        <v>Not Answered</v>
      </c>
      <c r="W23" s="5" t="str">
        <f>IFERROR(__xludf.DUMMYFUNCTION("""COMPUTED_VALUE"""),"Not Answered")</f>
        <v>Not Answered</v>
      </c>
      <c r="X23" s="5" t="str">
        <f>IFERROR(__xludf.DUMMYFUNCTION("""COMPUTED_VALUE"""),"Not Answered")</f>
        <v>Not Answered</v>
      </c>
      <c r="Y23" s="5" t="str">
        <f>IFERROR(__xludf.DUMMYFUNCTION("""COMPUTED_VALUE"""),"Not Answered")</f>
        <v>Not Answered</v>
      </c>
      <c r="Z23" s="5" t="str">
        <f>IFERROR(__xludf.DUMMYFUNCTION("""COMPUTED_VALUE"""),"Not Answered")</f>
        <v>Not Answered</v>
      </c>
      <c r="AA23" s="5" t="str">
        <f>IFERROR(__xludf.DUMMYFUNCTION("""COMPUTED_VALUE"""),"Not Answered")</f>
        <v>Not Answered</v>
      </c>
      <c r="AB23" s="5" t="str">
        <f>IFERROR(__xludf.DUMMYFUNCTION("""COMPUTED_VALUE"""),"Not Answered")</f>
        <v>Not Answered</v>
      </c>
      <c r="AC23" s="5" t="str">
        <f>IFERROR(__xludf.DUMMYFUNCTION("""COMPUTED_VALUE"""),"Not Answered")</f>
        <v>Not Answered</v>
      </c>
      <c r="AD23" s="5" t="str">
        <f>IFERROR(__xludf.DUMMYFUNCTION("""COMPUTED_VALUE"""),"Not Answered")</f>
        <v>Not Answered</v>
      </c>
      <c r="AE23" s="5" t="str">
        <f>IFERROR(__xludf.DUMMYFUNCTION("""COMPUTED_VALUE"""),"Not Answered")</f>
        <v>Not Answered</v>
      </c>
      <c r="AF23" s="5" t="str">
        <f>IFERROR(__xludf.DUMMYFUNCTION("""COMPUTED_VALUE"""),"Not Answered")</f>
        <v>Not Answered</v>
      </c>
      <c r="AG23" s="5" t="str">
        <f>IFERROR(__xludf.DUMMYFUNCTION("""COMPUTED_VALUE"""),"Ganske fornøyd")</f>
        <v>Ganske fornøyd</v>
      </c>
      <c r="AH23" s="5" t="str">
        <f>IFERROR(__xludf.DUMMYFUNCTION("""COMPUTED_VALUE"""),"Sverre trenger å jobbe litt med å være mer forberedt til møter slik at man får gode diskusjoner med godt gjennomtenkte løsninger fra start. Dette har jeg også snakket med Sverre om.")</f>
        <v>Sverre trenger å jobbe litt med å være mer forberedt til møter slik at man får gode diskusjoner med godt gjennomtenkte løsninger fra start. Dette har jeg også snakket med Sverre om.</v>
      </c>
      <c r="AI23" s="5" t="str">
        <f>IFERROR(__xludf.DUMMYFUNCTION("""COMPUTED_VALUE"""),"I stor grad")</f>
        <v>I stor grad</v>
      </c>
      <c r="AJ23" s="5" t="str">
        <f>IFERROR(__xludf.DUMMYFUNCTION("""COMPUTED_VALUE"""),"Not Answered")</f>
        <v>Not Answered</v>
      </c>
      <c r="AK23" s="5" t="str">
        <f>IFERROR(__xludf.DUMMYFUNCTION("""COMPUTED_VALUE"""),"Ganske fornøyd ")</f>
        <v>Ganske fornøyd </v>
      </c>
      <c r="AL23" s="5" t="str">
        <f>IFERROR(__xludf.DUMMYFUNCTION("""COMPUTED_VALUE"""),"Sverre kan gjerne dele mer rundt hvilke andre løsninger man heller bør se på i tilfeller der han ikke er enig med foreslått løsning. ")</f>
        <v>Sverre kan gjerne dele mer rundt hvilke andre løsninger man heller bør se på i tilfeller der han ikke er enig med foreslått løsning. </v>
      </c>
      <c r="AM23" s="5" t="str">
        <f>IFERROR(__xludf.DUMMYFUNCTION("""COMPUTED_VALUE"""),"Ganske fornøyd")</f>
        <v>Ganske fornøyd</v>
      </c>
      <c r="AN23" s="5" t="str">
        <f>IFERROR(__xludf.DUMMYFUNCTION("""COMPUTED_VALUE"""),"Sverre kan gjerne ta mer eget initiativ opp mot andre team og særlig arkitektene i de andre teamene, og andre prosjekter, der vi har sammenfallende interesser. Være mer proaktiv.")</f>
        <v>Sverre kan gjerne ta mer eget initiativ opp mot andre team og særlig arkitektene i de andre teamene, og andre prosjekter, der vi har sammenfallende interesser. Være mer proaktiv.</v>
      </c>
      <c r="AO23" s="5" t="str">
        <f>IFERROR(__xludf.DUMMYFUNCTION("""COMPUTED_VALUE"""),"Not Answered")</f>
        <v>Not Answered</v>
      </c>
      <c r="AP23" s="5" t="str">
        <f>IFERROR(__xludf.DUMMYFUNCTION("""COMPUTED_VALUE"""),"Not Answered")</f>
        <v>Not Answered</v>
      </c>
      <c r="AQ23" s="5" t="str">
        <f>IFERROR(__xludf.DUMMYFUNCTION("""COMPUTED_VALUE"""),"I stor grad")</f>
        <v>I stor grad</v>
      </c>
      <c r="AR23" s="5" t="str">
        <f>IFERROR(__xludf.DUMMYFUNCTION("""COMPUTED_VALUE"""),"Not Answered")</f>
        <v>Not Answered</v>
      </c>
      <c r="AS23" s="5" t="str">
        <f>IFERROR(__xludf.DUMMYFUNCTION("""COMPUTED_VALUE"""),"Ikke p.t.")</f>
        <v>Ikke p.t.</v>
      </c>
      <c r="AT23" s="11">
        <f t="shared" si="3"/>
        <v>45601.33475</v>
      </c>
      <c r="AU23" s="5" t="str">
        <f t="shared" si="4"/>
        <v>Skatteetaten</v>
      </c>
      <c r="AV23" s="5" t="str">
        <f>IFERROR(__xludf.DUMMYFUNCTION("if(ISNUMBER(A23),FILTER(N23:AF23,REGEXMATCH(N23:AF23, ""Not Answered"")=FALSE),)"),"Sverre Kristian Valskrå")</f>
        <v>Sverre Kristian Valskrå</v>
      </c>
      <c r="AW23" s="5" t="str">
        <f>if(ISNUMBER($C23), VLOOKUP(AV23, konsulenter!$A$1:$B99,2,false),)</f>
        <v>#N/A</v>
      </c>
      <c r="AX23" s="10">
        <f>if(ISNUMBER($C23), VLOOKUP(AG23, mapping!$A$2:$B99,2,false),)</f>
        <v>5</v>
      </c>
      <c r="AY23" s="10" t="str">
        <f t="shared" si="5"/>
        <v>Sverre trenger å jobbe litt med å være mer forberedt til møter slik at man får gode diskusjoner med godt gjennomtenkte løsninger fra start. Dette har jeg også snakket med Sverre om.</v>
      </c>
      <c r="AZ23" s="10">
        <f>if(ISNUMBER($C23), VLOOKUP(AI23, mapping!$A$2:$B99,2,false),)</f>
        <v>6</v>
      </c>
      <c r="BA23" s="10" t="str">
        <f t="shared" si="6"/>
        <v>-</v>
      </c>
      <c r="BB23" s="10">
        <f>if(ISNUMBER($C23), VLOOKUP(AK23, mapping!$A$2:$B99,2,false),)</f>
        <v>5</v>
      </c>
      <c r="BC23" s="10" t="str">
        <f t="shared" si="7"/>
        <v>Sverre kan gjerne dele mer rundt hvilke andre løsninger man heller bør se på i tilfeller der han ikke er enig med foreslått løsning. </v>
      </c>
      <c r="BD23" s="10">
        <f>if(ISNUMBER($C23), VLOOKUP(AM23, mapping!$A$2:$B99,2,false),)</f>
        <v>5</v>
      </c>
      <c r="BE23" s="10" t="str">
        <f t="shared" si="8"/>
        <v>Sverre kan gjerne ta mer eget initiativ opp mot andre team og særlig arkitektene i de andre teamene, og andre prosjekter, der vi har sammenfallende interesser. Være mer proaktiv.</v>
      </c>
      <c r="BF23" s="10" t="str">
        <f>if(ISNUMBER($C23), VLOOKUP(AO23, mapping!$A$2:$B99,2,false),)</f>
        <v/>
      </c>
      <c r="BG23" s="10" t="str">
        <f t="shared" si="9"/>
        <v>-</v>
      </c>
      <c r="BH23" s="10">
        <f>if(ISNUMBER($C23), VLOOKUP(AQ23, mapping!$A$2:$B99,2,false),)</f>
        <v>6</v>
      </c>
      <c r="BI23" s="10" t="str">
        <f t="shared" ref="BI23:BJ23" si="30">if(ISNUMBER($C23), IF(AR23="Not Answered","-",AR23),)</f>
        <v>-</v>
      </c>
      <c r="BJ23" s="10" t="str">
        <f t="shared" si="30"/>
        <v>Ikke p.t.</v>
      </c>
    </row>
    <row r="24">
      <c r="A24" s="5">
        <f>IFERROR(__xludf.DUMMYFUNCTION("""COMPUTED_VALUE"""),1.14733612006E11)</f>
        <v>114733612006</v>
      </c>
      <c r="B24" s="11">
        <f>IFERROR(__xludf.DUMMYFUNCTION("""COMPUTED_VALUE"""),45607.69569444444)</f>
        <v>45607.69569</v>
      </c>
      <c r="C24" s="11">
        <f>IFERROR(__xludf.DUMMYFUNCTION("""COMPUTED_VALUE"""),45607.70675925926)</f>
        <v>45607.70676</v>
      </c>
      <c r="D24" s="5" t="str">
        <f>IFERROR(__xludf.DUMMYFUNCTION("""COMPUTED_VALUE"""),"151.187.161.6")</f>
        <v>151.187.161.6</v>
      </c>
      <c r="E24" s="5">
        <f>IFERROR(__xludf.DUMMYFUNCTION("""COMPUTED_VALUE"""),955.0)</f>
        <v>955</v>
      </c>
      <c r="F24" s="5" t="str">
        <f>IFERROR(__xludf.DUMMYFUNCTION("""COMPUTED_VALUE"""),"completed")</f>
        <v>completed</v>
      </c>
      <c r="G24" s="5" t="str">
        <f>IFERROR(__xludf.DUMMYFUNCTION("""COMPUTED_VALUE"""),"Not Answered")</f>
        <v>Not Answered</v>
      </c>
      <c r="H24" s="5" t="str">
        <f>IFERROR(__xludf.DUMMYFUNCTION("""COMPUTED_VALUE"""),"Not Answered")</f>
        <v>Not Answered</v>
      </c>
      <c r="I24" s="5" t="str">
        <f>IFERROR(__xludf.DUMMYFUNCTION("""COMPUTED_VALUE"""),"Not Answered")</f>
        <v>Not Answered</v>
      </c>
      <c r="J24" s="5">
        <f>IFERROR(__xludf.DUMMYFUNCTION("""COMPUTED_VALUE"""),4.33188881E8)</f>
        <v>433188881</v>
      </c>
      <c r="K24" s="5" t="str">
        <f>IFERROR(__xludf.DUMMYFUNCTION("""COMPUTED_VALUE"""),"weblink")</f>
        <v>weblink</v>
      </c>
      <c r="L24" s="5" t="str">
        <f>IFERROR(__xludf.DUMMYFUNCTION("""COMPUTED_VALUE"""),"Not Answered")</f>
        <v>Not Answered</v>
      </c>
      <c r="M24" s="5" t="str">
        <f>IFERROR(__xludf.DUMMYFUNCTION("""COMPUTED_VALUE"""),"Skatteetaten")</f>
        <v>Skatteetaten</v>
      </c>
      <c r="N24" s="5" t="str">
        <f>IFERROR(__xludf.DUMMYFUNCTION("""COMPUTED_VALUE"""),"Iver Stubdal")</f>
        <v>Iver Stubdal</v>
      </c>
      <c r="O24" s="5" t="str">
        <f>IFERROR(__xludf.DUMMYFUNCTION("""COMPUTED_VALUE"""),"Not Answered")</f>
        <v>Not Answered</v>
      </c>
      <c r="P24" s="5" t="str">
        <f>IFERROR(__xludf.DUMMYFUNCTION("""COMPUTED_VALUE"""),"Not Answered")</f>
        <v>Not Answered</v>
      </c>
      <c r="Q24" s="5" t="str">
        <f>IFERROR(__xludf.DUMMYFUNCTION("""COMPUTED_VALUE"""),"Not Answered")</f>
        <v>Not Answered</v>
      </c>
      <c r="R24" s="5" t="str">
        <f>IFERROR(__xludf.DUMMYFUNCTION("""COMPUTED_VALUE"""),"Not Answered")</f>
        <v>Not Answered</v>
      </c>
      <c r="S24" s="5" t="str">
        <f>IFERROR(__xludf.DUMMYFUNCTION("""COMPUTED_VALUE"""),"Not Answered")</f>
        <v>Not Answered</v>
      </c>
      <c r="T24" s="5" t="str">
        <f>IFERROR(__xludf.DUMMYFUNCTION("""COMPUTED_VALUE"""),"Not Answered")</f>
        <v>Not Answered</v>
      </c>
      <c r="U24" s="5" t="str">
        <f>IFERROR(__xludf.DUMMYFUNCTION("""COMPUTED_VALUE"""),"Not Answered")</f>
        <v>Not Answered</v>
      </c>
      <c r="V24" s="5" t="str">
        <f>IFERROR(__xludf.DUMMYFUNCTION("""COMPUTED_VALUE"""),"Not Answered")</f>
        <v>Not Answered</v>
      </c>
      <c r="W24" s="5" t="str">
        <f>IFERROR(__xludf.DUMMYFUNCTION("""COMPUTED_VALUE"""),"Not Answered")</f>
        <v>Not Answered</v>
      </c>
      <c r="X24" s="5" t="str">
        <f>IFERROR(__xludf.DUMMYFUNCTION("""COMPUTED_VALUE"""),"Not Answered")</f>
        <v>Not Answered</v>
      </c>
      <c r="Y24" s="5" t="str">
        <f>IFERROR(__xludf.DUMMYFUNCTION("""COMPUTED_VALUE"""),"Not Answered")</f>
        <v>Not Answered</v>
      </c>
      <c r="Z24" s="5" t="str">
        <f>IFERROR(__xludf.DUMMYFUNCTION("""COMPUTED_VALUE"""),"Not Answered")</f>
        <v>Not Answered</v>
      </c>
      <c r="AA24" s="5" t="str">
        <f>IFERROR(__xludf.DUMMYFUNCTION("""COMPUTED_VALUE"""),"Not Answered")</f>
        <v>Not Answered</v>
      </c>
      <c r="AB24" s="5" t="str">
        <f>IFERROR(__xludf.DUMMYFUNCTION("""COMPUTED_VALUE"""),"Not Answered")</f>
        <v>Not Answered</v>
      </c>
      <c r="AC24" s="5" t="str">
        <f>IFERROR(__xludf.DUMMYFUNCTION("""COMPUTED_VALUE"""),"Not Answered")</f>
        <v>Not Answered</v>
      </c>
      <c r="AD24" s="5" t="str">
        <f>IFERROR(__xludf.DUMMYFUNCTION("""COMPUTED_VALUE"""),"Not Answered")</f>
        <v>Not Answered</v>
      </c>
      <c r="AE24" s="5" t="str">
        <f>IFERROR(__xludf.DUMMYFUNCTION("""COMPUTED_VALUE"""),"Not Answered")</f>
        <v>Not Answered</v>
      </c>
      <c r="AF24" s="5" t="str">
        <f>IFERROR(__xludf.DUMMYFUNCTION("""COMPUTED_VALUE"""),"Not Answered")</f>
        <v>Not Answered</v>
      </c>
      <c r="AG24" s="5" t="str">
        <f>IFERROR(__xludf.DUMMYFUNCTION("""COMPUTED_VALUE"""),"Svært fornøyd")</f>
        <v>Svært fornøyd</v>
      </c>
      <c r="AH24" s="5" t="str">
        <f>IFERROR(__xludf.DUMMYFUNCTION("""COMPUTED_VALUE"""),"Iver leverer som forventet i prosjektet.")</f>
        <v>Iver leverer som forventet i prosjektet.</v>
      </c>
      <c r="AI24" s="5" t="str">
        <f>IFERROR(__xludf.DUMMYFUNCTION("""COMPUTED_VALUE"""),"I stor grad")</f>
        <v>I stor grad</v>
      </c>
      <c r="AJ24" s="5" t="str">
        <f>IFERROR(__xludf.DUMMYFUNCTION("""COMPUTED_VALUE"""),"Not Answered")</f>
        <v>Not Answered</v>
      </c>
      <c r="AK24" s="5" t="str">
        <f>IFERROR(__xludf.DUMMYFUNCTION("""COMPUTED_VALUE"""),"Ganske fornøyd ")</f>
        <v>Ganske fornøyd </v>
      </c>
      <c r="AL24" s="5" t="str">
        <f>IFERROR(__xludf.DUMMYFUNCTION("""COMPUTED_VALUE"""),"Han bidrar og er aktiv i diskusjoner om løsningsvalg i teamet. Bidrar ikke så mye med kompetansedeling utover prosjektet. ")</f>
        <v>Han bidrar og er aktiv i diskusjoner om løsningsvalg i teamet. Bidrar ikke så mye med kompetansedeling utover prosjektet. </v>
      </c>
      <c r="AM24" s="5" t="str">
        <f>IFERROR(__xludf.DUMMYFUNCTION("""COMPUTED_VALUE"""),"Svært fornøyd")</f>
        <v>Svært fornøyd</v>
      </c>
      <c r="AN24" s="5" t="str">
        <f>IFERROR(__xludf.DUMMYFUNCTION("""COMPUTED_VALUE"""),"Iver samarbeider bra med teamet. Kommuniserer og rapporterer klart i møtene. Passer godt inn i miljøet i prosjektet. ")</f>
        <v>Iver samarbeider bra med teamet. Kommuniserer og rapporterer klart i møtene. Passer godt inn i miljøet i prosjektet. </v>
      </c>
      <c r="AO24" s="5" t="str">
        <f>IFERROR(__xludf.DUMMYFUNCTION("""COMPUTED_VALUE"""),"Not Answered")</f>
        <v>Not Answered</v>
      </c>
      <c r="AP24" s="5" t="str">
        <f>IFERROR(__xludf.DUMMYFUNCTION("""COMPUTED_VALUE"""),"Not Answered")</f>
        <v>Not Answered</v>
      </c>
      <c r="AQ24" s="5" t="str">
        <f>IFERROR(__xludf.DUMMYFUNCTION("""COMPUTED_VALUE"""),"4 - star")</f>
        <v>4 - star</v>
      </c>
      <c r="AR24" s="5" t="str">
        <f>IFERROR(__xludf.DUMMYFUNCTION("""COMPUTED_VALUE"""),"Har i kategorien ekspert en høy timepris. ")</f>
        <v>Har i kategorien ekspert en høy timepris. </v>
      </c>
      <c r="AS24" s="5" t="str">
        <f>IFERROR(__xludf.DUMMYFUNCTION("""COMPUTED_VALUE"""),"Not Answered")</f>
        <v>Not Answered</v>
      </c>
      <c r="AT24" s="11">
        <f t="shared" si="3"/>
        <v>45607.69569</v>
      </c>
      <c r="AU24" s="5" t="str">
        <f t="shared" si="4"/>
        <v>Skatteetaten</v>
      </c>
      <c r="AV24" s="5" t="str">
        <f>IFERROR(__xludf.DUMMYFUNCTION("if(ISNUMBER(A24),FILTER(N24:AF24,REGEXMATCH(N24:AF24, ""Not Answered"")=FALSE),)"),"Iver Stubdal")</f>
        <v>Iver Stubdal</v>
      </c>
      <c r="AW24" s="5" t="str">
        <f>if(ISNUMBER($C24), VLOOKUP(AV24, konsulenter!$A$1:$B99,2,false),)</f>
        <v>#N/A</v>
      </c>
      <c r="AX24" s="10">
        <f>if(ISNUMBER($C24), VLOOKUP(AG24, mapping!$A$2:$B99,2,false),)</f>
        <v>6</v>
      </c>
      <c r="AY24" s="10" t="str">
        <f t="shared" si="5"/>
        <v>Iver leverer som forventet i prosjektet.</v>
      </c>
      <c r="AZ24" s="10">
        <f>if(ISNUMBER($C24), VLOOKUP(AI24, mapping!$A$2:$B99,2,false),)</f>
        <v>6</v>
      </c>
      <c r="BA24" s="10" t="str">
        <f t="shared" si="6"/>
        <v>-</v>
      </c>
      <c r="BB24" s="10">
        <f>if(ISNUMBER($C24), VLOOKUP(AK24, mapping!$A$2:$B99,2,false),)</f>
        <v>5</v>
      </c>
      <c r="BC24" s="10" t="str">
        <f t="shared" si="7"/>
        <v>Han bidrar og er aktiv i diskusjoner om løsningsvalg i teamet. Bidrar ikke så mye med kompetansedeling utover prosjektet. </v>
      </c>
      <c r="BD24" s="10">
        <f>if(ISNUMBER($C24), VLOOKUP(AM24, mapping!$A$2:$B99,2,false),)</f>
        <v>6</v>
      </c>
      <c r="BE24" s="10" t="str">
        <f t="shared" si="8"/>
        <v>Iver samarbeider bra med teamet. Kommuniserer og rapporterer klart i møtene. Passer godt inn i miljøet i prosjektet. </v>
      </c>
      <c r="BF24" s="10" t="str">
        <f>if(ISNUMBER($C24), VLOOKUP(AO24, mapping!$A$2:$B99,2,false),)</f>
        <v/>
      </c>
      <c r="BG24" s="10" t="str">
        <f t="shared" si="9"/>
        <v>-</v>
      </c>
      <c r="BH24" s="10">
        <f>if(ISNUMBER($C24), VLOOKUP(AQ24, mapping!$A$2:$B99,2,false),)</f>
        <v>4</v>
      </c>
      <c r="BI24" s="10" t="str">
        <f t="shared" ref="BI24:BJ24" si="31">if(ISNUMBER($C24), IF(AR24="Not Answered","-",AR24),)</f>
        <v>Har i kategorien ekspert en høy timepris. </v>
      </c>
      <c r="BJ24" s="10" t="str">
        <f t="shared" si="31"/>
        <v>-</v>
      </c>
    </row>
    <row r="25">
      <c r="A25" s="5">
        <f>IFERROR(__xludf.DUMMYFUNCTION("""COMPUTED_VALUE"""),1.14735329669E11)</f>
        <v>114735329669</v>
      </c>
      <c r="B25" s="11">
        <f>IFERROR(__xludf.DUMMYFUNCTION("""COMPUTED_VALUE"""),45609.48516203703)</f>
        <v>45609.48516</v>
      </c>
      <c r="C25" s="11">
        <f>IFERROR(__xludf.DUMMYFUNCTION("""COMPUTED_VALUE"""),45609.48908564815)</f>
        <v>45609.48909</v>
      </c>
      <c r="D25" s="5" t="str">
        <f>IFERROR(__xludf.DUMMYFUNCTION("""COMPUTED_VALUE"""),"151.187.161.6")</f>
        <v>151.187.161.6</v>
      </c>
      <c r="E25" s="5">
        <f>IFERROR(__xludf.DUMMYFUNCTION("""COMPUTED_VALUE"""),338.0)</f>
        <v>338</v>
      </c>
      <c r="F25" s="5" t="str">
        <f>IFERROR(__xludf.DUMMYFUNCTION("""COMPUTED_VALUE"""),"completed")</f>
        <v>completed</v>
      </c>
      <c r="G25" s="5" t="str">
        <f>IFERROR(__xludf.DUMMYFUNCTION("""COMPUTED_VALUE"""),"Not Answered")</f>
        <v>Not Answered</v>
      </c>
      <c r="H25" s="5" t="str">
        <f>IFERROR(__xludf.DUMMYFUNCTION("""COMPUTED_VALUE"""),"Not Answered")</f>
        <v>Not Answered</v>
      </c>
      <c r="I25" s="5" t="str">
        <f>IFERROR(__xludf.DUMMYFUNCTION("""COMPUTED_VALUE"""),"Not Answered")</f>
        <v>Not Answered</v>
      </c>
      <c r="J25" s="5">
        <f>IFERROR(__xludf.DUMMYFUNCTION("""COMPUTED_VALUE"""),4.33188881E8)</f>
        <v>433188881</v>
      </c>
      <c r="K25" s="5" t="str">
        <f>IFERROR(__xludf.DUMMYFUNCTION("""COMPUTED_VALUE"""),"weblink")</f>
        <v>weblink</v>
      </c>
      <c r="L25" s="5" t="str">
        <f>IFERROR(__xludf.DUMMYFUNCTION("""COMPUTED_VALUE"""),"Not Answered")</f>
        <v>Not Answered</v>
      </c>
      <c r="M25" s="5" t="str">
        <f>IFERROR(__xludf.DUMMYFUNCTION("""COMPUTED_VALUE"""),"Skatteetaten")</f>
        <v>Skatteetaten</v>
      </c>
      <c r="N25" s="5" t="str">
        <f>IFERROR(__xludf.DUMMYFUNCTION("""COMPUTED_VALUE"""),"Thomas Arp")</f>
        <v>Thomas Arp</v>
      </c>
      <c r="O25" s="5" t="str">
        <f>IFERROR(__xludf.DUMMYFUNCTION("""COMPUTED_VALUE"""),"Not Answered")</f>
        <v>Not Answered</v>
      </c>
      <c r="P25" s="5" t="str">
        <f>IFERROR(__xludf.DUMMYFUNCTION("""COMPUTED_VALUE"""),"Not Answered")</f>
        <v>Not Answered</v>
      </c>
      <c r="Q25" s="5" t="str">
        <f>IFERROR(__xludf.DUMMYFUNCTION("""COMPUTED_VALUE"""),"Not Answered")</f>
        <v>Not Answered</v>
      </c>
      <c r="R25" s="5" t="str">
        <f>IFERROR(__xludf.DUMMYFUNCTION("""COMPUTED_VALUE"""),"Not Answered")</f>
        <v>Not Answered</v>
      </c>
      <c r="S25" s="5" t="str">
        <f>IFERROR(__xludf.DUMMYFUNCTION("""COMPUTED_VALUE"""),"Not Answered")</f>
        <v>Not Answered</v>
      </c>
      <c r="T25" s="5" t="str">
        <f>IFERROR(__xludf.DUMMYFUNCTION("""COMPUTED_VALUE"""),"Not Answered")</f>
        <v>Not Answered</v>
      </c>
      <c r="U25" s="5" t="str">
        <f>IFERROR(__xludf.DUMMYFUNCTION("""COMPUTED_VALUE"""),"Not Answered")</f>
        <v>Not Answered</v>
      </c>
      <c r="V25" s="5" t="str">
        <f>IFERROR(__xludf.DUMMYFUNCTION("""COMPUTED_VALUE"""),"Not Answered")</f>
        <v>Not Answered</v>
      </c>
      <c r="W25" s="5" t="str">
        <f>IFERROR(__xludf.DUMMYFUNCTION("""COMPUTED_VALUE"""),"Not Answered")</f>
        <v>Not Answered</v>
      </c>
      <c r="X25" s="5" t="str">
        <f>IFERROR(__xludf.DUMMYFUNCTION("""COMPUTED_VALUE"""),"Not Answered")</f>
        <v>Not Answered</v>
      </c>
      <c r="Y25" s="5" t="str">
        <f>IFERROR(__xludf.DUMMYFUNCTION("""COMPUTED_VALUE"""),"Not Answered")</f>
        <v>Not Answered</v>
      </c>
      <c r="Z25" s="5" t="str">
        <f>IFERROR(__xludf.DUMMYFUNCTION("""COMPUTED_VALUE"""),"Not Answered")</f>
        <v>Not Answered</v>
      </c>
      <c r="AA25" s="5" t="str">
        <f>IFERROR(__xludf.DUMMYFUNCTION("""COMPUTED_VALUE"""),"Not Answered")</f>
        <v>Not Answered</v>
      </c>
      <c r="AB25" s="5" t="str">
        <f>IFERROR(__xludf.DUMMYFUNCTION("""COMPUTED_VALUE"""),"Not Answered")</f>
        <v>Not Answered</v>
      </c>
      <c r="AC25" s="5" t="str">
        <f>IFERROR(__xludf.DUMMYFUNCTION("""COMPUTED_VALUE"""),"Not Answered")</f>
        <v>Not Answered</v>
      </c>
      <c r="AD25" s="5" t="str">
        <f>IFERROR(__xludf.DUMMYFUNCTION("""COMPUTED_VALUE"""),"Not Answered")</f>
        <v>Not Answered</v>
      </c>
      <c r="AE25" s="5" t="str">
        <f>IFERROR(__xludf.DUMMYFUNCTION("""COMPUTED_VALUE"""),"Not Answered")</f>
        <v>Not Answered</v>
      </c>
      <c r="AF25" s="5" t="str">
        <f>IFERROR(__xludf.DUMMYFUNCTION("""COMPUTED_VALUE"""),"Not Answered")</f>
        <v>Not Answered</v>
      </c>
      <c r="AG25" s="5" t="str">
        <f>IFERROR(__xludf.DUMMYFUNCTION("""COMPUTED_VALUE"""),"Svært fornøyd")</f>
        <v>Svært fornøyd</v>
      </c>
      <c r="AH25" s="5" t="str">
        <f>IFERROR(__xludf.DUMMYFUNCTION("""COMPUTED_VALUE"""),"Thomas er teamleder og teamarkitekt for oss. Selv med to krevende roller som er utfordrende å kombinere leverer han svært godt.
Som teamleder er han dyktig til å fordele og ha oversikt over oppgaver og teammedlemmer, han ser hver enkelt og fungerer godt "&amp;"i rollen som sosialt lim i et distribuert team.
Som arkitekt er han sentral i utviklingen av nye løsninger og også i saneringen av gamle, det er et enormt spekter av oppgaver og kompetanseområder som han spenner over.
Thomas er en usedvanlig hyggelig fy"&amp;"r, og kombinerer det med enorm kompetanse. Sjelden vare.")</f>
        <v>Thomas er teamleder og teamarkitekt for oss. Selv med to krevende roller som er utfordrende å kombinere leverer han svært godt.
Som teamleder er han dyktig til å fordele og ha oversikt over oppgaver og teammedlemmer, han ser hver enkelt og fungerer godt i rollen som sosialt lim i et distribuert team.
Som arkitekt er han sentral i utviklingen av nye løsninger og også i saneringen av gamle, det er et enormt spekter av oppgaver og kompetanseområder som han spenner over.
Thomas er en usedvanlig hyggelig fyr, og kombinerer det med enorm kompetanse. Sjelden vare.</v>
      </c>
      <c r="AI25" s="5" t="str">
        <f>IFERROR(__xludf.DUMMYFUNCTION("""COMPUTED_VALUE"""),"I stor grad")</f>
        <v>I stor grad</v>
      </c>
      <c r="AJ25" s="5" t="str">
        <f>IFERROR(__xludf.DUMMYFUNCTION("""COMPUTED_VALUE"""),"Not Answered")</f>
        <v>Not Answered</v>
      </c>
      <c r="AK25" s="5" t="str">
        <f>IFERROR(__xludf.DUMMYFUNCTION("""COMPUTED_VALUE"""),"Svært fornøyd")</f>
        <v>Svært fornøyd</v>
      </c>
      <c r="AL25" s="5" t="str">
        <f>IFERROR(__xludf.DUMMYFUNCTION("""COMPUTED_VALUE"""),"Not Answered")</f>
        <v>Not Answered</v>
      </c>
      <c r="AM25" s="5" t="str">
        <f>IFERROR(__xludf.DUMMYFUNCTION("""COMPUTED_VALUE"""),"Svært fornøyd")</f>
        <v>Svært fornøyd</v>
      </c>
      <c r="AN25" s="5" t="str">
        <f>IFERROR(__xludf.DUMMYFUNCTION("""COMPUTED_VALUE"""),"Jeg og Thomas har ukentlige 1:1-møter, og han er tydelig på forventninger og behov dersom det trengs - det er viktig og nyttig for at vi skal bevege oss fremover.")</f>
        <v>Jeg og Thomas har ukentlige 1:1-møter, og han er tydelig på forventninger og behov dersom det trengs - det er viktig og nyttig for at vi skal bevege oss fremover.</v>
      </c>
      <c r="AO25" s="5" t="str">
        <f>IFERROR(__xludf.DUMMYFUNCTION("""COMPUTED_VALUE"""),"Not Answered")</f>
        <v>Not Answered</v>
      </c>
      <c r="AP25" s="5" t="str">
        <f>IFERROR(__xludf.DUMMYFUNCTION("""COMPUTED_VALUE"""),"Not Answered")</f>
        <v>Not Answered</v>
      </c>
      <c r="AQ25" s="5" t="str">
        <f>IFERROR(__xludf.DUMMYFUNCTION("""COMPUTED_VALUE"""),"I stor grad")</f>
        <v>I stor grad</v>
      </c>
      <c r="AR25" s="5" t="str">
        <f>IFERROR(__xludf.DUMMYFUNCTION("""COMPUTED_VALUE"""),"Not Answered")</f>
        <v>Not Answered</v>
      </c>
      <c r="AS25" s="5" t="str">
        <f>IFERROR(__xludf.DUMMYFUNCTION("""COMPUTED_VALUE"""),"Not Answered")</f>
        <v>Not Answered</v>
      </c>
      <c r="AT25" s="11">
        <f t="shared" si="3"/>
        <v>45609.48516</v>
      </c>
      <c r="AU25" s="5" t="str">
        <f t="shared" si="4"/>
        <v>Skatteetaten</v>
      </c>
      <c r="AV25" s="5" t="str">
        <f>IFERROR(__xludf.DUMMYFUNCTION("if(ISNUMBER(A25),FILTER(N25:AF25,REGEXMATCH(N25:AF25, ""Not Answered"")=FALSE),)"),"Thomas Arp")</f>
        <v>Thomas Arp</v>
      </c>
      <c r="AW25" s="5" t="str">
        <f>if(ISNUMBER($C25), VLOOKUP(AV25, konsulenter!$A$1:$B99,2,false),)</f>
        <v>#N/A</v>
      </c>
      <c r="AX25" s="10">
        <f>if(ISNUMBER($C25), VLOOKUP(AG25, mapping!$A$2:$B99,2,false),)</f>
        <v>6</v>
      </c>
      <c r="AY25" s="10" t="str">
        <f t="shared" si="5"/>
        <v>Thomas er teamleder og teamarkitekt for oss. Selv med to krevende roller som er utfordrende å kombinere leverer han svært godt.
Som teamleder er han dyktig til å fordele og ha oversikt over oppgaver og teammedlemmer, han ser hver enkelt og fungerer godt i rollen som sosialt lim i et distribuert team.
Som arkitekt er han sentral i utviklingen av nye løsninger og også i saneringen av gamle, det er et enormt spekter av oppgaver og kompetanseområder som han spenner over.
Thomas er en usedvanlig hyggelig fyr, og kombinerer det med enorm kompetanse. Sjelden vare.</v>
      </c>
      <c r="AZ25" s="10">
        <f>if(ISNUMBER($C25), VLOOKUP(AI25, mapping!$A$2:$B99,2,false),)</f>
        <v>6</v>
      </c>
      <c r="BA25" s="10" t="str">
        <f t="shared" si="6"/>
        <v>-</v>
      </c>
      <c r="BB25" s="10">
        <f>if(ISNUMBER($C25), VLOOKUP(AK25, mapping!$A$2:$B99,2,false),)</f>
        <v>6</v>
      </c>
      <c r="BC25" s="10" t="str">
        <f t="shared" si="7"/>
        <v>-</v>
      </c>
      <c r="BD25" s="10">
        <f>if(ISNUMBER($C25), VLOOKUP(AM25, mapping!$A$2:$B99,2,false),)</f>
        <v>6</v>
      </c>
      <c r="BE25" s="10" t="str">
        <f t="shared" si="8"/>
        <v>Jeg og Thomas har ukentlige 1:1-møter, og han er tydelig på forventninger og behov dersom det trengs - det er viktig og nyttig for at vi skal bevege oss fremover.</v>
      </c>
      <c r="BF25" s="10" t="str">
        <f>if(ISNUMBER($C25), VLOOKUP(AO25, mapping!$A$2:$B99,2,false),)</f>
        <v/>
      </c>
      <c r="BG25" s="10" t="str">
        <f t="shared" si="9"/>
        <v>-</v>
      </c>
      <c r="BH25" s="10">
        <f>if(ISNUMBER($C25), VLOOKUP(AQ25, mapping!$A$2:$B99,2,false),)</f>
        <v>6</v>
      </c>
      <c r="BI25" s="10" t="str">
        <f t="shared" ref="BI25:BJ25" si="32">if(ISNUMBER($C25), IF(AR25="Not Answered","-",AR25),)</f>
        <v>-</v>
      </c>
      <c r="BJ25" s="10" t="str">
        <f t="shared" si="32"/>
        <v>-</v>
      </c>
    </row>
    <row r="26">
      <c r="A26" s="5">
        <f>IFERROR(__xludf.DUMMYFUNCTION("""COMPUTED_VALUE"""),1.14745029744E11)</f>
        <v>114745029744</v>
      </c>
      <c r="B26" s="11">
        <f>IFERROR(__xludf.DUMMYFUNCTION("""COMPUTED_VALUE"""),45621.58930555556)</f>
        <v>45621.58931</v>
      </c>
      <c r="C26" s="11">
        <f>IFERROR(__xludf.DUMMYFUNCTION("""COMPUTED_VALUE"""),45621.59336805556)</f>
        <v>45621.59337</v>
      </c>
      <c r="D26" s="5" t="str">
        <f>IFERROR(__xludf.DUMMYFUNCTION("""COMPUTED_VALUE"""),"178.232.249.155")</f>
        <v>178.232.249.155</v>
      </c>
      <c r="E26" s="5">
        <f>IFERROR(__xludf.DUMMYFUNCTION("""COMPUTED_VALUE"""),350.0)</f>
        <v>350</v>
      </c>
      <c r="F26" s="5" t="str">
        <f>IFERROR(__xludf.DUMMYFUNCTION("""COMPUTED_VALUE"""),"completed")</f>
        <v>completed</v>
      </c>
      <c r="G26" s="5" t="str">
        <f>IFERROR(__xludf.DUMMYFUNCTION("""COMPUTED_VALUE"""),"Not Answered")</f>
        <v>Not Answered</v>
      </c>
      <c r="H26" s="5" t="str">
        <f>IFERROR(__xludf.DUMMYFUNCTION("""COMPUTED_VALUE"""),"Not Answered")</f>
        <v>Not Answered</v>
      </c>
      <c r="I26" s="5" t="str">
        <f>IFERROR(__xludf.DUMMYFUNCTION("""COMPUTED_VALUE"""),"Not Answered")</f>
        <v>Not Answered</v>
      </c>
      <c r="J26" s="5">
        <f>IFERROR(__xludf.DUMMYFUNCTION("""COMPUTED_VALUE"""),4.33188881E8)</f>
        <v>433188881</v>
      </c>
      <c r="K26" s="5" t="str">
        <f>IFERROR(__xludf.DUMMYFUNCTION("""COMPUTED_VALUE"""),"weblink")</f>
        <v>weblink</v>
      </c>
      <c r="L26" s="5" t="str">
        <f>IFERROR(__xludf.DUMMYFUNCTION("""COMPUTED_VALUE"""),"Not Answered")</f>
        <v>Not Answered</v>
      </c>
      <c r="M26" s="5" t="str">
        <f>IFERROR(__xludf.DUMMYFUNCTION("""COMPUTED_VALUE"""),"NAV")</f>
        <v>NAV</v>
      </c>
      <c r="N26" s="5" t="str">
        <f>IFERROR(__xludf.DUMMYFUNCTION("""COMPUTED_VALUE"""),"Not Answered")</f>
        <v>Not Answered</v>
      </c>
      <c r="O26" s="5" t="str">
        <f>IFERROR(__xludf.DUMMYFUNCTION("""COMPUTED_VALUE"""),"Not Answered")</f>
        <v>Not Answered</v>
      </c>
      <c r="P26" s="5" t="str">
        <f>IFERROR(__xludf.DUMMYFUNCTION("""COMPUTED_VALUE"""),"Not Answered")</f>
        <v>Not Answered</v>
      </c>
      <c r="Q26" s="5" t="str">
        <f>IFERROR(__xludf.DUMMYFUNCTION("""COMPUTED_VALUE"""),"Not Answered")</f>
        <v>Not Answered</v>
      </c>
      <c r="R26" s="5" t="str">
        <f>IFERROR(__xludf.DUMMYFUNCTION("""COMPUTED_VALUE"""),"Not Answered")</f>
        <v>Not Answered</v>
      </c>
      <c r="S26" s="5" t="str">
        <f>IFERROR(__xludf.DUMMYFUNCTION("""COMPUTED_VALUE"""),"Not Answered")</f>
        <v>Not Answered</v>
      </c>
      <c r="T26" s="5" t="str">
        <f>IFERROR(__xludf.DUMMYFUNCTION("""COMPUTED_VALUE"""),"Not Answered")</f>
        <v>Not Answered</v>
      </c>
      <c r="U26" s="5" t="str">
        <f>IFERROR(__xludf.DUMMYFUNCTION("""COMPUTED_VALUE"""),"Not Answered")</f>
        <v>Not Answered</v>
      </c>
      <c r="V26" s="5" t="str">
        <f>IFERROR(__xludf.DUMMYFUNCTION("""COMPUTED_VALUE"""),"Not Answered")</f>
        <v>Not Answered</v>
      </c>
      <c r="W26" s="5" t="str">
        <f>IFERROR(__xludf.DUMMYFUNCTION("""COMPUTED_VALUE"""),"Not Answered")</f>
        <v>Not Answered</v>
      </c>
      <c r="X26" s="5" t="str">
        <f>IFERROR(__xludf.DUMMYFUNCTION("""COMPUTED_VALUE"""),"Not Answered")</f>
        <v>Not Answered</v>
      </c>
      <c r="Y26" s="5" t="str">
        <f>IFERROR(__xludf.DUMMYFUNCTION("""COMPUTED_VALUE"""),"Not Answered")</f>
        <v>Not Answered</v>
      </c>
      <c r="Z26" s="5" t="str">
        <f>IFERROR(__xludf.DUMMYFUNCTION("""COMPUTED_VALUE"""),"Not Answered")</f>
        <v>Not Answered</v>
      </c>
      <c r="AA26" s="5" t="str">
        <f>IFERROR(__xludf.DUMMYFUNCTION("""COMPUTED_VALUE"""),"Not Answered")</f>
        <v>Not Answered</v>
      </c>
      <c r="AB26" s="5" t="str">
        <f>IFERROR(__xludf.DUMMYFUNCTION("""COMPUTED_VALUE"""),"Not Answered")</f>
        <v>Not Answered</v>
      </c>
      <c r="AC26" s="5" t="str">
        <f>IFERROR(__xludf.DUMMYFUNCTION("""COMPUTED_VALUE"""),"Not Answered")</f>
        <v>Not Answered</v>
      </c>
      <c r="AD26" s="5" t="str">
        <f>IFERROR(__xludf.DUMMYFUNCTION("""COMPUTED_VALUE"""),"Not Answered")</f>
        <v>Not Answered</v>
      </c>
      <c r="AE26" s="5" t="str">
        <f>IFERROR(__xludf.DUMMYFUNCTION("""COMPUTED_VALUE"""),"Matthew Koranda")</f>
        <v>Matthew Koranda</v>
      </c>
      <c r="AF26" s="5" t="str">
        <f>IFERROR(__xludf.DUMMYFUNCTION("""COMPUTED_VALUE"""),"Not Answered")</f>
        <v>Not Answered</v>
      </c>
      <c r="AG26" s="5" t="str">
        <f>IFERROR(__xludf.DUMMYFUNCTION("""COMPUTED_VALUE"""),"Svært fornøyd")</f>
        <v>Svært fornøyd</v>
      </c>
      <c r="AH26" s="5" t="str">
        <f>IFERROR(__xludf.DUMMYFUNCTION("""COMPUTED_VALUE"""),"Konsulenten leverer som forventet av en sjefskonsulent")</f>
        <v>Konsulenten leverer som forventet av en sjefskonsulent</v>
      </c>
      <c r="AI26" s="5" t="str">
        <f>IFERROR(__xludf.DUMMYFUNCTION("""COMPUTED_VALUE"""),"5 - star")</f>
        <v>5 - star</v>
      </c>
      <c r="AJ26" s="5" t="str">
        <f>IFERROR(__xludf.DUMMYFUNCTION("""COMPUTED_VALUE"""),"Har gjennom oppdraget ervervet seg nødvendig kompetanse.")</f>
        <v>Har gjennom oppdraget ervervet seg nødvendig kompetanse.</v>
      </c>
      <c r="AK26" s="5" t="str">
        <f>IFERROR(__xludf.DUMMYFUNCTION("""COMPUTED_VALUE"""),"Svært fornøyd")</f>
        <v>Svært fornøyd</v>
      </c>
      <c r="AL26" s="5" t="str">
        <f>IFERROR(__xludf.DUMMYFUNCTION("""COMPUTED_VALUE"""),"Konsulenten har hele tiden vist en åpen og fin holdning når det gjelder kompetansedeling")</f>
        <v>Konsulenten har hele tiden vist en åpen og fin holdning når det gjelder kompetansedeling</v>
      </c>
      <c r="AM26" s="5" t="str">
        <f>IFERROR(__xludf.DUMMYFUNCTION("""COMPUTED_VALUE"""),"Svært fornøyd")</f>
        <v>Svært fornøyd</v>
      </c>
      <c r="AN26" s="5" t="str">
        <f>IFERROR(__xludf.DUMMYFUNCTION("""COMPUTED_VALUE"""),"samarbeider veldig bra.")</f>
        <v>samarbeider veldig bra.</v>
      </c>
      <c r="AO26" s="5" t="str">
        <f>IFERROR(__xludf.DUMMYFUNCTION("""COMPUTED_VALUE"""),"Not Answered")</f>
        <v>Not Answered</v>
      </c>
      <c r="AP26" s="5" t="str">
        <f>IFERROR(__xludf.DUMMYFUNCTION("""COMPUTED_VALUE"""),"N/A")</f>
        <v>N/A</v>
      </c>
      <c r="AQ26" s="5" t="str">
        <f>IFERROR(__xludf.DUMMYFUNCTION("""COMPUTED_VALUE"""),"5 - star")</f>
        <v>5 - star</v>
      </c>
      <c r="AR26" s="5" t="str">
        <f>IFERROR(__xludf.DUMMYFUNCTION("""COMPUTED_VALUE"""),"kostbar sjefskonsulent.")</f>
        <v>kostbar sjefskonsulent.</v>
      </c>
      <c r="AS26" s="5" t="str">
        <f>IFERROR(__xludf.DUMMYFUNCTION("""COMPUTED_VALUE"""),"Not Answered")</f>
        <v>Not Answered</v>
      </c>
      <c r="AT26" s="11">
        <f t="shared" si="3"/>
        <v>45621.58931</v>
      </c>
      <c r="AU26" s="5" t="str">
        <f t="shared" si="4"/>
        <v>NAV</v>
      </c>
      <c r="AV26" s="5" t="str">
        <f>IFERROR(__xludf.DUMMYFUNCTION("if(ISNUMBER(A26),FILTER(N26:AF26,REGEXMATCH(N26:AF26, ""Not Answered"")=FALSE),)"),"Matthew Koranda")</f>
        <v>Matthew Koranda</v>
      </c>
      <c r="AW26" s="5" t="str">
        <f>if(ISNUMBER($C26), VLOOKUP(AV26, konsulenter!$A$1:$B99,2,false),)</f>
        <v>#N/A</v>
      </c>
      <c r="AX26" s="10">
        <f>if(ISNUMBER($C26), VLOOKUP(AG26, mapping!$A$2:$B99,2,false),)</f>
        <v>6</v>
      </c>
      <c r="AY26" s="10" t="str">
        <f t="shared" si="5"/>
        <v>Konsulenten leverer som forventet av en sjefskonsulent</v>
      </c>
      <c r="AZ26" s="10">
        <f>if(ISNUMBER($C26), VLOOKUP(AI26, mapping!$A$2:$B99,2,false),)</f>
        <v>5</v>
      </c>
      <c r="BA26" s="10" t="str">
        <f t="shared" si="6"/>
        <v>Har gjennom oppdraget ervervet seg nødvendig kompetanse.</v>
      </c>
      <c r="BB26" s="10">
        <f>if(ISNUMBER($C26), VLOOKUP(AK26, mapping!$A$2:$B99,2,false),)</f>
        <v>6</v>
      </c>
      <c r="BC26" s="10" t="str">
        <f t="shared" si="7"/>
        <v>Konsulenten har hele tiden vist en åpen og fin holdning når det gjelder kompetansedeling</v>
      </c>
      <c r="BD26" s="10">
        <f>if(ISNUMBER($C26), VLOOKUP(AM26, mapping!$A$2:$B99,2,false),)</f>
        <v>6</v>
      </c>
      <c r="BE26" s="10" t="str">
        <f t="shared" si="8"/>
        <v>samarbeider veldig bra.</v>
      </c>
      <c r="BF26" s="10" t="str">
        <f>if(ISNUMBER($C26), VLOOKUP(AO26, mapping!$A$2:$B99,2,false),)</f>
        <v/>
      </c>
      <c r="BG26" s="10" t="str">
        <f t="shared" si="9"/>
        <v>N/A</v>
      </c>
      <c r="BH26" s="10">
        <f>if(ISNUMBER($C26), VLOOKUP(AQ26, mapping!$A$2:$B99,2,false),)</f>
        <v>5</v>
      </c>
      <c r="BI26" s="10" t="str">
        <f t="shared" ref="BI26:BJ26" si="33">if(ISNUMBER($C26), IF(AR26="Not Answered","-",AR26),)</f>
        <v>kostbar sjefskonsulent.</v>
      </c>
      <c r="BJ26" s="10" t="str">
        <f t="shared" si="33"/>
        <v>-</v>
      </c>
    </row>
    <row r="27">
      <c r="A27" s="5">
        <f>IFERROR(__xludf.DUMMYFUNCTION("""COMPUTED_VALUE"""),1.14745051553E11)</f>
        <v>114745051553</v>
      </c>
      <c r="B27" s="11">
        <f>IFERROR(__xludf.DUMMYFUNCTION("""COMPUTED_VALUE"""),45621.610173611116)</f>
        <v>45621.61017</v>
      </c>
      <c r="C27" s="11">
        <f>IFERROR(__xludf.DUMMYFUNCTION("""COMPUTED_VALUE"""),45621.61150462963)</f>
        <v>45621.6115</v>
      </c>
      <c r="D27" s="5" t="str">
        <f>IFERROR(__xludf.DUMMYFUNCTION("""COMPUTED_VALUE"""),"62.92.224.123")</f>
        <v>62.92.224.123</v>
      </c>
      <c r="E27" s="5">
        <f>IFERROR(__xludf.DUMMYFUNCTION("""COMPUTED_VALUE"""),114.0)</f>
        <v>114</v>
      </c>
      <c r="F27" s="5" t="str">
        <f>IFERROR(__xludf.DUMMYFUNCTION("""COMPUTED_VALUE"""),"completed")</f>
        <v>completed</v>
      </c>
      <c r="G27" s="5" t="str">
        <f>IFERROR(__xludf.DUMMYFUNCTION("""COMPUTED_VALUE"""),"Not Answered")</f>
        <v>Not Answered</v>
      </c>
      <c r="H27" s="5" t="str">
        <f>IFERROR(__xludf.DUMMYFUNCTION("""COMPUTED_VALUE"""),"Not Answered")</f>
        <v>Not Answered</v>
      </c>
      <c r="I27" s="5" t="str">
        <f>IFERROR(__xludf.DUMMYFUNCTION("""COMPUTED_VALUE"""),"Not Answered")</f>
        <v>Not Answered</v>
      </c>
      <c r="J27" s="5">
        <f>IFERROR(__xludf.DUMMYFUNCTION("""COMPUTED_VALUE"""),4.33598082E8)</f>
        <v>433598082</v>
      </c>
      <c r="K27" s="5" t="str">
        <f>IFERROR(__xludf.DUMMYFUNCTION("""COMPUTED_VALUE"""),"weblink")</f>
        <v>weblink</v>
      </c>
      <c r="L27" s="5" t="str">
        <f>IFERROR(__xludf.DUMMYFUNCTION("""COMPUTED_VALUE"""),"Not Answered")</f>
        <v>Not Answered</v>
      </c>
      <c r="M27" s="5" t="str">
        <f>IFERROR(__xludf.DUMMYFUNCTION("""COMPUTED_VALUE"""),"Sikt")</f>
        <v>Sikt</v>
      </c>
      <c r="N27" s="5" t="str">
        <f>IFERROR(__xludf.DUMMYFUNCTION("""COMPUTED_VALUE"""),"Not Answered")</f>
        <v>Not Answered</v>
      </c>
      <c r="O27" s="5" t="str">
        <f>IFERROR(__xludf.DUMMYFUNCTION("""COMPUTED_VALUE"""),"Not Answered")</f>
        <v>Not Answered</v>
      </c>
      <c r="P27" s="5" t="str">
        <f>IFERROR(__xludf.DUMMYFUNCTION("""COMPUTED_VALUE"""),"Not Answered")</f>
        <v>Not Answered</v>
      </c>
      <c r="Q27" s="5" t="str">
        <f>IFERROR(__xludf.DUMMYFUNCTION("""COMPUTED_VALUE"""),"Not Answered")</f>
        <v>Not Answered</v>
      </c>
      <c r="R27" s="5" t="str">
        <f>IFERROR(__xludf.DUMMYFUNCTION("""COMPUTED_VALUE"""),"Not Answered")</f>
        <v>Not Answered</v>
      </c>
      <c r="S27" s="5" t="str">
        <f>IFERROR(__xludf.DUMMYFUNCTION("""COMPUTED_VALUE"""),"Not Answered")</f>
        <v>Not Answered</v>
      </c>
      <c r="T27" s="5" t="str">
        <f>IFERROR(__xludf.DUMMYFUNCTION("""COMPUTED_VALUE"""),"Not Answered")</f>
        <v>Not Answered</v>
      </c>
      <c r="U27" s="5" t="str">
        <f>IFERROR(__xludf.DUMMYFUNCTION("""COMPUTED_VALUE"""),"Not Answered")</f>
        <v>Not Answered</v>
      </c>
      <c r="V27" s="5" t="str">
        <f>IFERROR(__xludf.DUMMYFUNCTION("""COMPUTED_VALUE"""),"Not Answered")</f>
        <v>Not Answered</v>
      </c>
      <c r="W27" s="5" t="str">
        <f>IFERROR(__xludf.DUMMYFUNCTION("""COMPUTED_VALUE"""),"Not Answered")</f>
        <v>Not Answered</v>
      </c>
      <c r="X27" s="5" t="str">
        <f>IFERROR(__xludf.DUMMYFUNCTION("""COMPUTED_VALUE"""),"Not Answered")</f>
        <v>Not Answered</v>
      </c>
      <c r="Y27" s="5" t="str">
        <f>IFERROR(__xludf.DUMMYFUNCTION("""COMPUTED_VALUE"""),"Not Answered")</f>
        <v>Not Answered</v>
      </c>
      <c r="Z27" s="5" t="str">
        <f>IFERROR(__xludf.DUMMYFUNCTION("""COMPUTED_VALUE"""),"Not Answered")</f>
        <v>Not Answered</v>
      </c>
      <c r="AA27" s="5" t="str">
        <f>IFERROR(__xludf.DUMMYFUNCTION("""COMPUTED_VALUE"""),"Not Answered")</f>
        <v>Not Answered</v>
      </c>
      <c r="AB27" s="5" t="str">
        <f>IFERROR(__xludf.DUMMYFUNCTION("""COMPUTED_VALUE"""),"Lasse Krabye")</f>
        <v>Lasse Krabye</v>
      </c>
      <c r="AC27" s="5" t="str">
        <f>IFERROR(__xludf.DUMMYFUNCTION("""COMPUTED_VALUE"""),"Not Answered")</f>
        <v>Not Answered</v>
      </c>
      <c r="AD27" s="5" t="str">
        <f>IFERROR(__xludf.DUMMYFUNCTION("""COMPUTED_VALUE"""),"Not Answered")</f>
        <v>Not Answered</v>
      </c>
      <c r="AE27" s="5" t="str">
        <f>IFERROR(__xludf.DUMMYFUNCTION("""COMPUTED_VALUE"""),"Not Answered")</f>
        <v>Not Answered</v>
      </c>
      <c r="AF27" s="5" t="str">
        <f>IFERROR(__xludf.DUMMYFUNCTION("""COMPUTED_VALUE"""),"Not Answered")</f>
        <v>Not Answered</v>
      </c>
      <c r="AG27" s="5" t="str">
        <f>IFERROR(__xludf.DUMMYFUNCTION("""COMPUTED_VALUE"""),"Ganske fornøyd")</f>
        <v>Ganske fornøyd</v>
      </c>
      <c r="AH27" s="5" t="str">
        <f>IFERROR(__xludf.DUMMYFUNCTION("""COMPUTED_VALUE"""),"Not Answered")</f>
        <v>Not Answered</v>
      </c>
      <c r="AI27" s="5" t="str">
        <f>IFERROR(__xludf.DUMMYFUNCTION("""COMPUTED_VALUE"""),"I stor grad")</f>
        <v>I stor grad</v>
      </c>
      <c r="AJ27" s="5" t="str">
        <f>IFERROR(__xludf.DUMMYFUNCTION("""COMPUTED_VALUE"""),"Not Answered")</f>
        <v>Not Answered</v>
      </c>
      <c r="AK27" s="5" t="str">
        <f>IFERROR(__xludf.DUMMYFUNCTION("""COMPUTED_VALUE"""),"Ganske fornøyd ")</f>
        <v>Ganske fornøyd </v>
      </c>
      <c r="AL27" s="5" t="str">
        <f>IFERROR(__xludf.DUMMYFUNCTION("""COMPUTED_VALUE"""),"Not Answered")</f>
        <v>Not Answered</v>
      </c>
      <c r="AM27" s="5" t="str">
        <f>IFERROR(__xludf.DUMMYFUNCTION("""COMPUTED_VALUE"""),"Ganske fornøyd")</f>
        <v>Ganske fornøyd</v>
      </c>
      <c r="AN27" s="5" t="str">
        <f>IFERROR(__xludf.DUMMYFUNCTION("""COMPUTED_VALUE"""),"Not Answered")</f>
        <v>Not Answered</v>
      </c>
      <c r="AO27" s="5" t="str">
        <f>IFERROR(__xludf.DUMMYFUNCTION("""COMPUTED_VALUE"""),"Ganske fornøyd")</f>
        <v>Ganske fornøyd</v>
      </c>
      <c r="AP27" s="5" t="str">
        <f>IFERROR(__xludf.DUMMYFUNCTION("""COMPUTED_VALUE"""),"Not Answered")</f>
        <v>Not Answered</v>
      </c>
      <c r="AQ27" s="5" t="str">
        <f>IFERROR(__xludf.DUMMYFUNCTION("""COMPUTED_VALUE"""),"I stor grad")</f>
        <v>I stor grad</v>
      </c>
      <c r="AR27" s="5" t="str">
        <f>IFERROR(__xludf.DUMMYFUNCTION("""COMPUTED_VALUE"""),"Not Answered")</f>
        <v>Not Answered</v>
      </c>
      <c r="AS27" s="5" t="str">
        <f>IFERROR(__xludf.DUMMYFUNCTION("""COMPUTED_VALUE"""),"Not Answered")</f>
        <v>Not Answered</v>
      </c>
      <c r="AT27" s="11">
        <f t="shared" si="3"/>
        <v>45621.61017</v>
      </c>
      <c r="AU27" s="5" t="str">
        <f t="shared" si="4"/>
        <v>Sikt</v>
      </c>
      <c r="AV27" s="5" t="str">
        <f>IFERROR(__xludf.DUMMYFUNCTION("if(ISNUMBER(A27),FILTER(N27:AF27,REGEXMATCH(N27:AF27, ""Not Answered"")=FALSE),)"),"Lasse Krabye")</f>
        <v>Lasse Krabye</v>
      </c>
      <c r="AW27" s="5" t="str">
        <f>if(ISNUMBER($C27), VLOOKUP(AV27, konsulenter!$A$1:$B99,2,false),)</f>
        <v>#N/A</v>
      </c>
      <c r="AX27" s="10">
        <f>if(ISNUMBER($C27), VLOOKUP(AG27, mapping!$A$2:$B99,2,false),)</f>
        <v>5</v>
      </c>
      <c r="AY27" s="10" t="str">
        <f t="shared" si="5"/>
        <v>-</v>
      </c>
      <c r="AZ27" s="10">
        <f>if(ISNUMBER($C27), VLOOKUP(AI27, mapping!$A$2:$B99,2,false),)</f>
        <v>6</v>
      </c>
      <c r="BA27" s="10" t="str">
        <f t="shared" si="6"/>
        <v>-</v>
      </c>
      <c r="BB27" s="10">
        <f>if(ISNUMBER($C27), VLOOKUP(AK27, mapping!$A$2:$B99,2,false),)</f>
        <v>5</v>
      </c>
      <c r="BC27" s="10" t="str">
        <f t="shared" si="7"/>
        <v>-</v>
      </c>
      <c r="BD27" s="10">
        <f>if(ISNUMBER($C27), VLOOKUP(AM27, mapping!$A$2:$B99,2,false),)</f>
        <v>5</v>
      </c>
      <c r="BE27" s="10" t="str">
        <f t="shared" si="8"/>
        <v>-</v>
      </c>
      <c r="BF27" s="10">
        <f>if(ISNUMBER($C27), VLOOKUP(AO27, mapping!$A$2:$B99,2,false),)</f>
        <v>5</v>
      </c>
      <c r="BG27" s="10" t="str">
        <f t="shared" si="9"/>
        <v>-</v>
      </c>
      <c r="BH27" s="10">
        <f>if(ISNUMBER($C27), VLOOKUP(AQ27, mapping!$A$2:$B99,2,false),)</f>
        <v>6</v>
      </c>
      <c r="BI27" s="10" t="str">
        <f t="shared" ref="BI27:BJ27" si="34">if(ISNUMBER($C27), IF(AR27="Not Answered","-",AR27),)</f>
        <v>-</v>
      </c>
      <c r="BJ27" s="10" t="str">
        <f t="shared" si="34"/>
        <v>-</v>
      </c>
    </row>
    <row r="28">
      <c r="A28" s="5">
        <f>IFERROR(__xludf.DUMMYFUNCTION("""COMPUTED_VALUE"""),1.14745053221E11)</f>
        <v>114745053221</v>
      </c>
      <c r="B28" s="11">
        <f>IFERROR(__xludf.DUMMYFUNCTION("""COMPUTED_VALUE"""),45621.611562499995)</f>
        <v>45621.61156</v>
      </c>
      <c r="C28" s="11">
        <f>IFERROR(__xludf.DUMMYFUNCTION("""COMPUTED_VALUE"""),45621.61274305556)</f>
        <v>45621.61274</v>
      </c>
      <c r="D28" s="5" t="str">
        <f>IFERROR(__xludf.DUMMYFUNCTION("""COMPUTED_VALUE"""),"62.92.224.123")</f>
        <v>62.92.224.123</v>
      </c>
      <c r="E28" s="5">
        <f>IFERROR(__xludf.DUMMYFUNCTION("""COMPUTED_VALUE"""),101.0)</f>
        <v>101</v>
      </c>
      <c r="F28" s="5" t="str">
        <f>IFERROR(__xludf.DUMMYFUNCTION("""COMPUTED_VALUE"""),"completed")</f>
        <v>completed</v>
      </c>
      <c r="G28" s="5" t="str">
        <f>IFERROR(__xludf.DUMMYFUNCTION("""COMPUTED_VALUE"""),"Not Answered")</f>
        <v>Not Answered</v>
      </c>
      <c r="H28" s="5" t="str">
        <f>IFERROR(__xludf.DUMMYFUNCTION("""COMPUTED_VALUE"""),"Not Answered")</f>
        <v>Not Answered</v>
      </c>
      <c r="I28" s="5" t="str">
        <f>IFERROR(__xludf.DUMMYFUNCTION("""COMPUTED_VALUE"""),"Not Answered")</f>
        <v>Not Answered</v>
      </c>
      <c r="J28" s="5">
        <f>IFERROR(__xludf.DUMMYFUNCTION("""COMPUTED_VALUE"""),4.33598082E8)</f>
        <v>433598082</v>
      </c>
      <c r="K28" s="5" t="str">
        <f>IFERROR(__xludf.DUMMYFUNCTION("""COMPUTED_VALUE"""),"weblink")</f>
        <v>weblink</v>
      </c>
      <c r="L28" s="5" t="str">
        <f>IFERROR(__xludf.DUMMYFUNCTION("""COMPUTED_VALUE"""),"Not Answered")</f>
        <v>Not Answered</v>
      </c>
      <c r="M28" s="5" t="str">
        <f>IFERROR(__xludf.DUMMYFUNCTION("""COMPUTED_VALUE"""),"Sikt")</f>
        <v>Sikt</v>
      </c>
      <c r="N28" s="5" t="str">
        <f>IFERROR(__xludf.DUMMYFUNCTION("""COMPUTED_VALUE"""),"Not Answered")</f>
        <v>Not Answered</v>
      </c>
      <c r="O28" s="5" t="str">
        <f>IFERROR(__xludf.DUMMYFUNCTION("""COMPUTED_VALUE"""),"Not Answered")</f>
        <v>Not Answered</v>
      </c>
      <c r="P28" s="5" t="str">
        <f>IFERROR(__xludf.DUMMYFUNCTION("""COMPUTED_VALUE"""),"Not Answered")</f>
        <v>Not Answered</v>
      </c>
      <c r="Q28" s="5" t="str">
        <f>IFERROR(__xludf.DUMMYFUNCTION("""COMPUTED_VALUE"""),"Not Answered")</f>
        <v>Not Answered</v>
      </c>
      <c r="R28" s="5" t="str">
        <f>IFERROR(__xludf.DUMMYFUNCTION("""COMPUTED_VALUE"""),"Not Answered")</f>
        <v>Not Answered</v>
      </c>
      <c r="S28" s="5" t="str">
        <f>IFERROR(__xludf.DUMMYFUNCTION("""COMPUTED_VALUE"""),"Not Answered")</f>
        <v>Not Answered</v>
      </c>
      <c r="T28" s="5" t="str">
        <f>IFERROR(__xludf.DUMMYFUNCTION("""COMPUTED_VALUE"""),"Not Answered")</f>
        <v>Not Answered</v>
      </c>
      <c r="U28" s="5" t="str">
        <f>IFERROR(__xludf.DUMMYFUNCTION("""COMPUTED_VALUE"""),"Not Answered")</f>
        <v>Not Answered</v>
      </c>
      <c r="V28" s="5" t="str">
        <f>IFERROR(__xludf.DUMMYFUNCTION("""COMPUTED_VALUE"""),"Not Answered")</f>
        <v>Not Answered</v>
      </c>
      <c r="W28" s="5" t="str">
        <f>IFERROR(__xludf.DUMMYFUNCTION("""COMPUTED_VALUE"""),"Not Answered")</f>
        <v>Not Answered</v>
      </c>
      <c r="X28" s="5" t="str">
        <f>IFERROR(__xludf.DUMMYFUNCTION("""COMPUTED_VALUE"""),"Not Answered")</f>
        <v>Not Answered</v>
      </c>
      <c r="Y28" s="5" t="str">
        <f>IFERROR(__xludf.DUMMYFUNCTION("""COMPUTED_VALUE"""),"Not Answered")</f>
        <v>Not Answered</v>
      </c>
      <c r="Z28" s="5" t="str">
        <f>IFERROR(__xludf.DUMMYFUNCTION("""COMPUTED_VALUE"""),"Not Answered")</f>
        <v>Not Answered</v>
      </c>
      <c r="AA28" s="5" t="str">
        <f>IFERROR(__xludf.DUMMYFUNCTION("""COMPUTED_VALUE"""),"Not Answered")</f>
        <v>Not Answered</v>
      </c>
      <c r="AB28" s="5" t="str">
        <f>IFERROR(__xludf.DUMMYFUNCTION("""COMPUTED_VALUE"""),"Petter Kristiansen")</f>
        <v>Petter Kristiansen</v>
      </c>
      <c r="AC28" s="5" t="str">
        <f>IFERROR(__xludf.DUMMYFUNCTION("""COMPUTED_VALUE"""),"Not Answered")</f>
        <v>Not Answered</v>
      </c>
      <c r="AD28" s="5" t="str">
        <f>IFERROR(__xludf.DUMMYFUNCTION("""COMPUTED_VALUE"""),"Not Answered")</f>
        <v>Not Answered</v>
      </c>
      <c r="AE28" s="5" t="str">
        <f>IFERROR(__xludf.DUMMYFUNCTION("""COMPUTED_VALUE"""),"Not Answered")</f>
        <v>Not Answered</v>
      </c>
      <c r="AF28" s="5" t="str">
        <f>IFERROR(__xludf.DUMMYFUNCTION("""COMPUTED_VALUE"""),"Not Answered")</f>
        <v>Not Answered</v>
      </c>
      <c r="AG28" s="5" t="str">
        <f>IFERROR(__xludf.DUMMYFUNCTION("""COMPUTED_VALUE"""),"Svært fornøyd")</f>
        <v>Svært fornøyd</v>
      </c>
      <c r="AH28" s="5" t="str">
        <f>IFERROR(__xludf.DUMMYFUNCTION("""COMPUTED_VALUE"""),"Not Answered")</f>
        <v>Not Answered</v>
      </c>
      <c r="AI28" s="5" t="str">
        <f>IFERROR(__xludf.DUMMYFUNCTION("""COMPUTED_VALUE"""),"5 - star")</f>
        <v>5 - star</v>
      </c>
      <c r="AJ28" s="5" t="str">
        <f>IFERROR(__xludf.DUMMYFUNCTION("""COMPUTED_VALUE"""),"Not Answered")</f>
        <v>Not Answered</v>
      </c>
      <c r="AK28" s="5" t="str">
        <f>IFERROR(__xludf.DUMMYFUNCTION("""COMPUTED_VALUE"""),"Svært fornøyd")</f>
        <v>Svært fornøyd</v>
      </c>
      <c r="AL28" s="5" t="str">
        <f>IFERROR(__xludf.DUMMYFUNCTION("""COMPUTED_VALUE"""),"Not Answered")</f>
        <v>Not Answered</v>
      </c>
      <c r="AM28" s="5" t="str">
        <f>IFERROR(__xludf.DUMMYFUNCTION("""COMPUTED_VALUE"""),"Svært fornøyd")</f>
        <v>Svært fornøyd</v>
      </c>
      <c r="AN28" s="5" t="str">
        <f>IFERROR(__xludf.DUMMYFUNCTION("""COMPUTED_VALUE"""),"Not Answered")</f>
        <v>Not Answered</v>
      </c>
      <c r="AO28" s="5" t="str">
        <f>IFERROR(__xludf.DUMMYFUNCTION("""COMPUTED_VALUE"""),"Ganske fornøyd")</f>
        <v>Ganske fornøyd</v>
      </c>
      <c r="AP28" s="5" t="str">
        <f>IFERROR(__xludf.DUMMYFUNCTION("""COMPUTED_VALUE"""),"Not Answered")</f>
        <v>Not Answered</v>
      </c>
      <c r="AQ28" s="5" t="str">
        <f>IFERROR(__xludf.DUMMYFUNCTION("""COMPUTED_VALUE"""),"I stor grad")</f>
        <v>I stor grad</v>
      </c>
      <c r="AR28" s="5" t="str">
        <f>IFERROR(__xludf.DUMMYFUNCTION("""COMPUTED_VALUE"""),"Not Answered")</f>
        <v>Not Answered</v>
      </c>
      <c r="AS28" s="5" t="str">
        <f>IFERROR(__xludf.DUMMYFUNCTION("""COMPUTED_VALUE"""),"Not Answered")</f>
        <v>Not Answered</v>
      </c>
      <c r="AT28" s="11">
        <f t="shared" si="3"/>
        <v>45621.61156</v>
      </c>
      <c r="AU28" s="5" t="str">
        <f t="shared" si="4"/>
        <v>Sikt</v>
      </c>
      <c r="AV28" s="5" t="str">
        <f>IFERROR(__xludf.DUMMYFUNCTION("if(ISNUMBER(A28),FILTER(N28:AF28,REGEXMATCH(N28:AF28, ""Not Answered"")=FALSE),)"),"Petter Kristiansen")</f>
        <v>Petter Kristiansen</v>
      </c>
      <c r="AW28" s="5" t="str">
        <f>if(ISNUMBER($C28), VLOOKUP(AV28, konsulenter!$A$1:$B99,2,false),)</f>
        <v>#N/A</v>
      </c>
      <c r="AX28" s="10">
        <f>if(ISNUMBER($C28), VLOOKUP(AG28, mapping!$A$2:$B99,2,false),)</f>
        <v>6</v>
      </c>
      <c r="AY28" s="10" t="str">
        <f t="shared" si="5"/>
        <v>-</v>
      </c>
      <c r="AZ28" s="10">
        <f>if(ISNUMBER($C28), VLOOKUP(AI28, mapping!$A$2:$B99,2,false),)</f>
        <v>5</v>
      </c>
      <c r="BA28" s="10" t="str">
        <f t="shared" si="6"/>
        <v>-</v>
      </c>
      <c r="BB28" s="10">
        <f>if(ISNUMBER($C28), VLOOKUP(AK28, mapping!$A$2:$B99,2,false),)</f>
        <v>6</v>
      </c>
      <c r="BC28" s="10" t="str">
        <f t="shared" si="7"/>
        <v>-</v>
      </c>
      <c r="BD28" s="10">
        <f>if(ISNUMBER($C28), VLOOKUP(AM28, mapping!$A$2:$B99,2,false),)</f>
        <v>6</v>
      </c>
      <c r="BE28" s="10" t="str">
        <f t="shared" si="8"/>
        <v>-</v>
      </c>
      <c r="BF28" s="10">
        <f>if(ISNUMBER($C28), VLOOKUP(AO28, mapping!$A$2:$B99,2,false),)</f>
        <v>5</v>
      </c>
      <c r="BG28" s="10" t="str">
        <f t="shared" si="9"/>
        <v>-</v>
      </c>
      <c r="BH28" s="10">
        <f>if(ISNUMBER($C28), VLOOKUP(AQ28, mapping!$A$2:$B99,2,false),)</f>
        <v>6</v>
      </c>
      <c r="BI28" s="10" t="str">
        <f t="shared" ref="BI28:BJ28" si="35">if(ISNUMBER($C28), IF(AR28="Not Answered","-",AR28),)</f>
        <v>-</v>
      </c>
      <c r="BJ28" s="10" t="str">
        <f t="shared" si="35"/>
        <v>-</v>
      </c>
    </row>
    <row r="29">
      <c r="A29" s="5">
        <f>IFERROR(__xludf.DUMMYFUNCTION("""COMPUTED_VALUE"""),1.14746771051E11)</f>
        <v>114746771051</v>
      </c>
      <c r="B29" s="11">
        <f>IFERROR(__xludf.DUMMYFUNCTION("""COMPUTED_VALUE"""),45623.57896990741)</f>
        <v>45623.57897</v>
      </c>
      <c r="C29" s="11">
        <f>IFERROR(__xludf.DUMMYFUNCTION("""COMPUTED_VALUE"""),45623.58048611111)</f>
        <v>45623.58049</v>
      </c>
      <c r="D29" s="5" t="str">
        <f>IFERROR(__xludf.DUMMYFUNCTION("""COMPUTED_VALUE"""),"62.92.224.123")</f>
        <v>62.92.224.123</v>
      </c>
      <c r="E29" s="5">
        <f>IFERROR(__xludf.DUMMYFUNCTION("""COMPUTED_VALUE"""),130.0)</f>
        <v>130</v>
      </c>
      <c r="F29" s="5" t="str">
        <f>IFERROR(__xludf.DUMMYFUNCTION("""COMPUTED_VALUE"""),"completed")</f>
        <v>completed</v>
      </c>
      <c r="G29" s="5" t="str">
        <f>IFERROR(__xludf.DUMMYFUNCTION("""COMPUTED_VALUE"""),"Not Answered")</f>
        <v>Not Answered</v>
      </c>
      <c r="H29" s="5" t="str">
        <f>IFERROR(__xludf.DUMMYFUNCTION("""COMPUTED_VALUE"""),"Not Answered")</f>
        <v>Not Answered</v>
      </c>
      <c r="I29" s="5" t="str">
        <f>IFERROR(__xludf.DUMMYFUNCTION("""COMPUTED_VALUE"""),"Not Answered")</f>
        <v>Not Answered</v>
      </c>
      <c r="J29" s="5">
        <f>IFERROR(__xludf.DUMMYFUNCTION("""COMPUTED_VALUE"""),4.33598082E8)</f>
        <v>433598082</v>
      </c>
      <c r="K29" s="5" t="str">
        <f>IFERROR(__xludf.DUMMYFUNCTION("""COMPUTED_VALUE"""),"weblink")</f>
        <v>weblink</v>
      </c>
      <c r="L29" s="5" t="str">
        <f>IFERROR(__xludf.DUMMYFUNCTION("""COMPUTED_VALUE"""),"Not Answered")</f>
        <v>Not Answered</v>
      </c>
      <c r="M29" s="5" t="str">
        <f>IFERROR(__xludf.DUMMYFUNCTION("""COMPUTED_VALUE"""),"Posten/Bring")</f>
        <v>Posten/Bring</v>
      </c>
      <c r="N29" s="5" t="str">
        <f>IFERROR(__xludf.DUMMYFUNCTION("""COMPUTED_VALUE"""),"Not Answered")</f>
        <v>Not Answered</v>
      </c>
      <c r="O29" s="5" t="str">
        <f>IFERROR(__xludf.DUMMYFUNCTION("""COMPUTED_VALUE"""),"Not Answered")</f>
        <v>Not Answered</v>
      </c>
      <c r="P29" s="5" t="str">
        <f>IFERROR(__xludf.DUMMYFUNCTION("""COMPUTED_VALUE"""),"Not Answered")</f>
        <v>Not Answered</v>
      </c>
      <c r="Q29" s="5" t="str">
        <f>IFERROR(__xludf.DUMMYFUNCTION("""COMPUTED_VALUE"""),"Not Answered")</f>
        <v>Not Answered</v>
      </c>
      <c r="R29" s="5" t="str">
        <f>IFERROR(__xludf.DUMMYFUNCTION("""COMPUTED_VALUE"""),"Not Answered")</f>
        <v>Not Answered</v>
      </c>
      <c r="S29" s="5" t="str">
        <f>IFERROR(__xludf.DUMMYFUNCTION("""COMPUTED_VALUE"""),"Jonathan Share")</f>
        <v>Jonathan Share</v>
      </c>
      <c r="T29" s="5" t="str">
        <f>IFERROR(__xludf.DUMMYFUNCTION("""COMPUTED_VALUE"""),"Not Answered")</f>
        <v>Not Answered</v>
      </c>
      <c r="U29" s="5" t="str">
        <f>IFERROR(__xludf.DUMMYFUNCTION("""COMPUTED_VALUE"""),"Not Answered")</f>
        <v>Not Answered</v>
      </c>
      <c r="V29" s="5" t="str">
        <f>IFERROR(__xludf.DUMMYFUNCTION("""COMPUTED_VALUE"""),"Not Answered")</f>
        <v>Not Answered</v>
      </c>
      <c r="W29" s="5" t="str">
        <f>IFERROR(__xludf.DUMMYFUNCTION("""COMPUTED_VALUE"""),"Not Answered")</f>
        <v>Not Answered</v>
      </c>
      <c r="X29" s="5" t="str">
        <f>IFERROR(__xludf.DUMMYFUNCTION("""COMPUTED_VALUE"""),"Not Answered")</f>
        <v>Not Answered</v>
      </c>
      <c r="Y29" s="5" t="str">
        <f>IFERROR(__xludf.DUMMYFUNCTION("""COMPUTED_VALUE"""),"Not Answered")</f>
        <v>Not Answered</v>
      </c>
      <c r="Z29" s="5" t="str">
        <f>IFERROR(__xludf.DUMMYFUNCTION("""COMPUTED_VALUE"""),"Not Answered")</f>
        <v>Not Answered</v>
      </c>
      <c r="AA29" s="5" t="str">
        <f>IFERROR(__xludf.DUMMYFUNCTION("""COMPUTED_VALUE"""),"Not Answered")</f>
        <v>Not Answered</v>
      </c>
      <c r="AB29" s="5" t="str">
        <f>IFERROR(__xludf.DUMMYFUNCTION("""COMPUTED_VALUE"""),"Not Answered")</f>
        <v>Not Answered</v>
      </c>
      <c r="AC29" s="5" t="str">
        <f>IFERROR(__xludf.DUMMYFUNCTION("""COMPUTED_VALUE"""),"Not Answered")</f>
        <v>Not Answered</v>
      </c>
      <c r="AD29" s="5" t="str">
        <f>IFERROR(__xludf.DUMMYFUNCTION("""COMPUTED_VALUE"""),"Not Answered")</f>
        <v>Not Answered</v>
      </c>
      <c r="AE29" s="5" t="str">
        <f>IFERROR(__xludf.DUMMYFUNCTION("""COMPUTED_VALUE"""),"Not Answered")</f>
        <v>Not Answered</v>
      </c>
      <c r="AF29" s="5" t="str">
        <f>IFERROR(__xludf.DUMMYFUNCTION("""COMPUTED_VALUE"""),"Not Answered")</f>
        <v>Not Answered</v>
      </c>
      <c r="AG29" s="5" t="str">
        <f>IFERROR(__xludf.DUMMYFUNCTION("""COMPUTED_VALUE"""),"Svært fornøyd")</f>
        <v>Svært fornøyd</v>
      </c>
      <c r="AH29" s="5" t="str">
        <f>IFERROR(__xludf.DUMMYFUNCTION("""COMPUTED_VALUE"""),"Jonathan ""kan alt""")</f>
        <v>Jonathan "kan alt"</v>
      </c>
      <c r="AI29" s="5" t="str">
        <f>IFERROR(__xludf.DUMMYFUNCTION("""COMPUTED_VALUE"""),"I stor grad")</f>
        <v>I stor grad</v>
      </c>
      <c r="AJ29" s="5" t="str">
        <f>IFERROR(__xludf.DUMMYFUNCTION("""COMPUTED_VALUE"""),"Veldig bra. Det han ikke kan fra før finner han ut av
")</f>
        <v>Veldig bra. Det han ikke kan fra før finner han ut av
</v>
      </c>
      <c r="AK29" s="5" t="str">
        <f>IFERROR(__xludf.DUMMYFUNCTION("""COMPUTED_VALUE"""),"Svært fornøyd")</f>
        <v>Svært fornøyd</v>
      </c>
      <c r="AL29" s="5" t="str">
        <f>IFERROR(__xludf.DUMMYFUNCTION("""COMPUTED_VALUE"""),"Jonathan er aktiv i Slack kanaler, presenterer på kompetansedelingsfora")</f>
        <v>Jonathan er aktiv i Slack kanaler, presenterer på kompetansedelingsfora</v>
      </c>
      <c r="AM29" s="5" t="str">
        <f>IFERROR(__xludf.DUMMYFUNCTION("""COMPUTED_VALUE"""),"Svært fornøyd")</f>
        <v>Svært fornøyd</v>
      </c>
      <c r="AN29" s="5" t="str">
        <f>IFERROR(__xludf.DUMMYFUNCTION("""COMPUTED_VALUE"""),"Not Answered")</f>
        <v>Not Answered</v>
      </c>
      <c r="AO29" s="5" t="str">
        <f>IFERROR(__xludf.DUMMYFUNCTION("""COMPUTED_VALUE"""),"Svært fornøyd")</f>
        <v>Svært fornøyd</v>
      </c>
      <c r="AP29" s="5" t="str">
        <f>IFERROR(__xludf.DUMMYFUNCTION("""COMPUTED_VALUE"""),"Kristoffer er alltid tilgjengelig")</f>
        <v>Kristoffer er alltid tilgjengelig</v>
      </c>
      <c r="AQ29" s="5" t="str">
        <f>IFERROR(__xludf.DUMMYFUNCTION("""COMPUTED_VALUE"""),"5 - star")</f>
        <v>5 - star</v>
      </c>
      <c r="AR29" s="5" t="str">
        <f>IFERROR(__xludf.DUMMYFUNCTION("""COMPUTED_VALUE"""),"Ganske stive timepriser, men Jonathan gjør en meget god jobb")</f>
        <v>Ganske stive timepriser, men Jonathan gjør en meget god jobb</v>
      </c>
      <c r="AS29" s="5" t="str">
        <f>IFERROR(__xludf.DUMMYFUNCTION("""COMPUTED_VALUE"""),"Not Answered")</f>
        <v>Not Answered</v>
      </c>
      <c r="AT29" s="11">
        <f t="shared" si="3"/>
        <v>45623.57897</v>
      </c>
      <c r="AU29" s="5" t="str">
        <f t="shared" si="4"/>
        <v>Posten/Bring</v>
      </c>
      <c r="AV29" s="5" t="str">
        <f>IFERROR(__xludf.DUMMYFUNCTION("if(ISNUMBER(A29),FILTER(N29:AF29,REGEXMATCH(N29:AF29, ""Not Answered"")=FALSE),)"),"Jonathan Share")</f>
        <v>Jonathan Share</v>
      </c>
      <c r="AW29" s="5" t="str">
        <f>if(ISNUMBER($C29), VLOOKUP(AV29, konsulenter!$A$1:$B99,2,false),)</f>
        <v>#N/A</v>
      </c>
      <c r="AX29" s="10">
        <f>if(ISNUMBER($C29), VLOOKUP(AG29, mapping!$A$2:$B99,2,false),)</f>
        <v>6</v>
      </c>
      <c r="AY29" s="10" t="str">
        <f t="shared" si="5"/>
        <v>Jonathan "kan alt"</v>
      </c>
      <c r="AZ29" s="10">
        <f>if(ISNUMBER($C29), VLOOKUP(AI29, mapping!$A$2:$B99,2,false),)</f>
        <v>6</v>
      </c>
      <c r="BA29" s="10" t="str">
        <f t="shared" si="6"/>
        <v>Veldig bra. Det han ikke kan fra før finner han ut av
</v>
      </c>
      <c r="BB29" s="10">
        <f>if(ISNUMBER($C29), VLOOKUP(AK29, mapping!$A$2:$B99,2,false),)</f>
        <v>6</v>
      </c>
      <c r="BC29" s="10" t="str">
        <f t="shared" si="7"/>
        <v>Jonathan er aktiv i Slack kanaler, presenterer på kompetansedelingsfora</v>
      </c>
      <c r="BD29" s="10">
        <f>if(ISNUMBER($C29), VLOOKUP(AM29, mapping!$A$2:$B99,2,false),)</f>
        <v>6</v>
      </c>
      <c r="BE29" s="10" t="str">
        <f t="shared" si="8"/>
        <v>-</v>
      </c>
      <c r="BF29" s="10">
        <f>if(ISNUMBER($C29), VLOOKUP(AO29, mapping!$A$2:$B99,2,false),)</f>
        <v>6</v>
      </c>
      <c r="BG29" s="10" t="str">
        <f t="shared" si="9"/>
        <v>Kristoffer er alltid tilgjengelig</v>
      </c>
      <c r="BH29" s="10">
        <f>if(ISNUMBER($C29), VLOOKUP(AQ29, mapping!$A$2:$B99,2,false),)</f>
        <v>5</v>
      </c>
      <c r="BI29" s="10" t="str">
        <f t="shared" ref="BI29:BJ29" si="36">if(ISNUMBER($C29), IF(AR29="Not Answered","-",AR29),)</f>
        <v>Ganske stive timepriser, men Jonathan gjør en meget god jobb</v>
      </c>
      <c r="BJ29" s="10" t="str">
        <f t="shared" si="36"/>
        <v>-</v>
      </c>
    </row>
    <row r="30">
      <c r="A30" s="5">
        <f>IFERROR(__xludf.DUMMYFUNCTION("""COMPUTED_VALUE"""),1.14746772269E11)</f>
        <v>114746772269</v>
      </c>
      <c r="B30" s="11">
        <f>IFERROR(__xludf.DUMMYFUNCTION("""COMPUTED_VALUE"""),45623.5805324074)</f>
        <v>45623.58053</v>
      </c>
      <c r="C30" s="11">
        <f>IFERROR(__xludf.DUMMYFUNCTION("""COMPUTED_VALUE"""),45623.582280092596)</f>
        <v>45623.58228</v>
      </c>
      <c r="D30" s="5" t="str">
        <f>IFERROR(__xludf.DUMMYFUNCTION("""COMPUTED_VALUE"""),"62.92.224.123")</f>
        <v>62.92.224.123</v>
      </c>
      <c r="E30" s="5">
        <f>IFERROR(__xludf.DUMMYFUNCTION("""COMPUTED_VALUE"""),151.0)</f>
        <v>151</v>
      </c>
      <c r="F30" s="5" t="str">
        <f>IFERROR(__xludf.DUMMYFUNCTION("""COMPUTED_VALUE"""),"completed")</f>
        <v>completed</v>
      </c>
      <c r="G30" s="5" t="str">
        <f>IFERROR(__xludf.DUMMYFUNCTION("""COMPUTED_VALUE"""),"Not Answered")</f>
        <v>Not Answered</v>
      </c>
      <c r="H30" s="5" t="str">
        <f>IFERROR(__xludf.DUMMYFUNCTION("""COMPUTED_VALUE"""),"Not Answered")</f>
        <v>Not Answered</v>
      </c>
      <c r="I30" s="5" t="str">
        <f>IFERROR(__xludf.DUMMYFUNCTION("""COMPUTED_VALUE"""),"Not Answered")</f>
        <v>Not Answered</v>
      </c>
      <c r="J30" s="5">
        <f>IFERROR(__xludf.DUMMYFUNCTION("""COMPUTED_VALUE"""),4.33598082E8)</f>
        <v>433598082</v>
      </c>
      <c r="K30" s="5" t="str">
        <f>IFERROR(__xludf.DUMMYFUNCTION("""COMPUTED_VALUE"""),"weblink")</f>
        <v>weblink</v>
      </c>
      <c r="L30" s="5" t="str">
        <f>IFERROR(__xludf.DUMMYFUNCTION("""COMPUTED_VALUE"""),"Not Answered")</f>
        <v>Not Answered</v>
      </c>
      <c r="M30" s="5" t="str">
        <f>IFERROR(__xludf.DUMMYFUNCTION("""COMPUTED_VALUE"""),"Posten/Bring")</f>
        <v>Posten/Bring</v>
      </c>
      <c r="N30" s="5" t="str">
        <f>IFERROR(__xludf.DUMMYFUNCTION("""COMPUTED_VALUE"""),"Not Answered")</f>
        <v>Not Answered</v>
      </c>
      <c r="O30" s="5" t="str">
        <f>IFERROR(__xludf.DUMMYFUNCTION("""COMPUTED_VALUE"""),"Not Answered")</f>
        <v>Not Answered</v>
      </c>
      <c r="P30" s="5" t="str">
        <f>IFERROR(__xludf.DUMMYFUNCTION("""COMPUTED_VALUE"""),"Not Answered")</f>
        <v>Not Answered</v>
      </c>
      <c r="Q30" s="5" t="str">
        <f>IFERROR(__xludf.DUMMYFUNCTION("""COMPUTED_VALUE"""),"Not Answered")</f>
        <v>Not Answered</v>
      </c>
      <c r="R30" s="5" t="str">
        <f>IFERROR(__xludf.DUMMYFUNCTION("""COMPUTED_VALUE"""),"Not Answered")</f>
        <v>Not Answered</v>
      </c>
      <c r="S30" s="5" t="str">
        <f>IFERROR(__xludf.DUMMYFUNCTION("""COMPUTED_VALUE"""),"Arild Nilsen")</f>
        <v>Arild Nilsen</v>
      </c>
      <c r="T30" s="5" t="str">
        <f>IFERROR(__xludf.DUMMYFUNCTION("""COMPUTED_VALUE"""),"Not Answered")</f>
        <v>Not Answered</v>
      </c>
      <c r="U30" s="5" t="str">
        <f>IFERROR(__xludf.DUMMYFUNCTION("""COMPUTED_VALUE"""),"Not Answered")</f>
        <v>Not Answered</v>
      </c>
      <c r="V30" s="5" t="str">
        <f>IFERROR(__xludf.DUMMYFUNCTION("""COMPUTED_VALUE"""),"Not Answered")</f>
        <v>Not Answered</v>
      </c>
      <c r="W30" s="5" t="str">
        <f>IFERROR(__xludf.DUMMYFUNCTION("""COMPUTED_VALUE"""),"Not Answered")</f>
        <v>Not Answered</v>
      </c>
      <c r="X30" s="5" t="str">
        <f>IFERROR(__xludf.DUMMYFUNCTION("""COMPUTED_VALUE"""),"Not Answered")</f>
        <v>Not Answered</v>
      </c>
      <c r="Y30" s="5" t="str">
        <f>IFERROR(__xludf.DUMMYFUNCTION("""COMPUTED_VALUE"""),"Not Answered")</f>
        <v>Not Answered</v>
      </c>
      <c r="Z30" s="5" t="str">
        <f>IFERROR(__xludf.DUMMYFUNCTION("""COMPUTED_VALUE"""),"Not Answered")</f>
        <v>Not Answered</v>
      </c>
      <c r="AA30" s="5" t="str">
        <f>IFERROR(__xludf.DUMMYFUNCTION("""COMPUTED_VALUE"""),"Not Answered")</f>
        <v>Not Answered</v>
      </c>
      <c r="AB30" s="5" t="str">
        <f>IFERROR(__xludf.DUMMYFUNCTION("""COMPUTED_VALUE"""),"Not Answered")</f>
        <v>Not Answered</v>
      </c>
      <c r="AC30" s="5" t="str">
        <f>IFERROR(__xludf.DUMMYFUNCTION("""COMPUTED_VALUE"""),"Not Answered")</f>
        <v>Not Answered</v>
      </c>
      <c r="AD30" s="5" t="str">
        <f>IFERROR(__xludf.DUMMYFUNCTION("""COMPUTED_VALUE"""),"Not Answered")</f>
        <v>Not Answered</v>
      </c>
      <c r="AE30" s="5" t="str">
        <f>IFERROR(__xludf.DUMMYFUNCTION("""COMPUTED_VALUE"""),"Not Answered")</f>
        <v>Not Answered</v>
      </c>
      <c r="AF30" s="5" t="str">
        <f>IFERROR(__xludf.DUMMYFUNCTION("""COMPUTED_VALUE"""),"Not Answered")</f>
        <v>Not Answered</v>
      </c>
      <c r="AG30" s="5" t="str">
        <f>IFERROR(__xludf.DUMMYFUNCTION("""COMPUTED_VALUE"""),"Svært fornøyd")</f>
        <v>Svært fornøyd</v>
      </c>
      <c r="AH30" s="5" t="str">
        <f>IFERROR(__xludf.DUMMYFUNCTION("""COMPUTED_VALUE"""),"Arild leverer godt og er en meget viktig del av teamet. Selvstendig og leverer med kvalitet og effektivitet.")</f>
        <v>Arild leverer godt og er en meget viktig del av teamet. Selvstendig og leverer med kvalitet og effektivitet.</v>
      </c>
      <c r="AI30" s="5" t="str">
        <f>IFERROR(__xludf.DUMMYFUNCTION("""COMPUTED_VALUE"""),"I stor grad")</f>
        <v>I stor grad</v>
      </c>
      <c r="AJ30" s="5" t="str">
        <f>IFERROR(__xludf.DUMMYFUNCTION("""COMPUTED_VALUE"""),"Not Answered")</f>
        <v>Not Answered</v>
      </c>
      <c r="AK30" s="5" t="str">
        <f>IFERROR(__xludf.DUMMYFUNCTION("""COMPUTED_VALUE"""),"Svært fornøyd")</f>
        <v>Svært fornøyd</v>
      </c>
      <c r="AL30" s="5" t="str">
        <f>IFERROR(__xludf.DUMMYFUNCTION("""COMPUTED_VALUE"""),"Not Answered")</f>
        <v>Not Answered</v>
      </c>
      <c r="AM30" s="5" t="str">
        <f>IFERROR(__xludf.DUMMYFUNCTION("""COMPUTED_VALUE"""),"Svært fornøyd")</f>
        <v>Svært fornøyd</v>
      </c>
      <c r="AN30" s="5" t="str">
        <f>IFERROR(__xludf.DUMMYFUNCTION("""COMPUTED_VALUE"""),"Not Answered")</f>
        <v>Not Answered</v>
      </c>
      <c r="AO30" s="5" t="str">
        <f>IFERROR(__xludf.DUMMYFUNCTION("""COMPUTED_VALUE"""),"Not Answered")</f>
        <v>Not Answered</v>
      </c>
      <c r="AP30" s="5" t="str">
        <f>IFERROR(__xludf.DUMMYFUNCTION("""COMPUTED_VALUE"""),"Den dialogen skjer mellom andre enn meg.")</f>
        <v>Den dialogen skjer mellom andre enn meg.</v>
      </c>
      <c r="AQ30" s="5" t="str">
        <f>IFERROR(__xludf.DUMMYFUNCTION("""COMPUTED_VALUE"""),"Not Answered")</f>
        <v>Not Answered</v>
      </c>
      <c r="AR30" s="5" t="str">
        <f>IFERROR(__xludf.DUMMYFUNCTION("""COMPUTED_VALUE"""),"Not Answered")</f>
        <v>Not Answered</v>
      </c>
      <c r="AS30" s="5" t="str">
        <f>IFERROR(__xludf.DUMMYFUNCTION("""COMPUTED_VALUE"""),"Not Answered")</f>
        <v>Not Answered</v>
      </c>
      <c r="AT30" s="11">
        <f t="shared" si="3"/>
        <v>45623.58053</v>
      </c>
      <c r="AU30" s="5" t="str">
        <f t="shared" si="4"/>
        <v>Posten/Bring</v>
      </c>
      <c r="AV30" s="5" t="str">
        <f>IFERROR(__xludf.DUMMYFUNCTION("if(ISNUMBER(A30),FILTER(N30:AF30,REGEXMATCH(N30:AF30, ""Not Answered"")=FALSE),)"),"Arild Nilsen")</f>
        <v>Arild Nilsen</v>
      </c>
      <c r="AW30" s="5" t="str">
        <f>if(ISNUMBER($C30), VLOOKUP(AV30, konsulenter!$A$1:$B99,2,false),)</f>
        <v>#N/A</v>
      </c>
      <c r="AX30" s="10">
        <f>if(ISNUMBER($C30), VLOOKUP(AG30, mapping!$A$2:$B99,2,false),)</f>
        <v>6</v>
      </c>
      <c r="AY30" s="10" t="str">
        <f t="shared" si="5"/>
        <v>Arild leverer godt og er en meget viktig del av teamet. Selvstendig og leverer med kvalitet og effektivitet.</v>
      </c>
      <c r="AZ30" s="10">
        <f>if(ISNUMBER($C30), VLOOKUP(AI30, mapping!$A$2:$B99,2,false),)</f>
        <v>6</v>
      </c>
      <c r="BA30" s="10" t="str">
        <f t="shared" si="6"/>
        <v>-</v>
      </c>
      <c r="BB30" s="10">
        <f>if(ISNUMBER($C30), VLOOKUP(AK30, mapping!$A$2:$B99,2,false),)</f>
        <v>6</v>
      </c>
      <c r="BC30" s="10" t="str">
        <f t="shared" si="7"/>
        <v>-</v>
      </c>
      <c r="BD30" s="10">
        <f>if(ISNUMBER($C30), VLOOKUP(AM30, mapping!$A$2:$B99,2,false),)</f>
        <v>6</v>
      </c>
      <c r="BE30" s="10" t="str">
        <f t="shared" si="8"/>
        <v>-</v>
      </c>
      <c r="BF30" s="10" t="str">
        <f>if(ISNUMBER($C30), VLOOKUP(AO30, mapping!$A$2:$B99,2,false),)</f>
        <v/>
      </c>
      <c r="BG30" s="10" t="str">
        <f t="shared" si="9"/>
        <v>Den dialogen skjer mellom andre enn meg.</v>
      </c>
      <c r="BH30" s="10" t="str">
        <f>if(ISNUMBER($C30), VLOOKUP(AQ30, mapping!$A$2:$B99,2,false),)</f>
        <v/>
      </c>
      <c r="BI30" s="10" t="str">
        <f t="shared" ref="BI30:BJ30" si="37">if(ISNUMBER($C30), IF(AR30="Not Answered","-",AR30),)</f>
        <v>-</v>
      </c>
      <c r="BJ30" s="10" t="str">
        <f t="shared" si="37"/>
        <v>-</v>
      </c>
    </row>
    <row r="31">
      <c r="A31" s="5">
        <f>IFERROR(__xludf.DUMMYFUNCTION("""COMPUTED_VALUE"""),1.14753140732E11)</f>
        <v>114753140732</v>
      </c>
      <c r="B31" s="11">
        <f>IFERROR(__xludf.DUMMYFUNCTION("""COMPUTED_VALUE"""),45632.32341435185)</f>
        <v>45632.32341</v>
      </c>
      <c r="C31" s="11">
        <f>IFERROR(__xludf.DUMMYFUNCTION("""COMPUTED_VALUE"""),45632.325937500005)</f>
        <v>45632.32594</v>
      </c>
      <c r="D31" s="5" t="str">
        <f>IFERROR(__xludf.DUMMYFUNCTION("""COMPUTED_VALUE"""),"46.46.202.104")</f>
        <v>46.46.202.104</v>
      </c>
      <c r="E31" s="5">
        <f>IFERROR(__xludf.DUMMYFUNCTION("""COMPUTED_VALUE"""),218.0)</f>
        <v>218</v>
      </c>
      <c r="F31" s="5" t="str">
        <f>IFERROR(__xludf.DUMMYFUNCTION("""COMPUTED_VALUE"""),"completed")</f>
        <v>completed</v>
      </c>
      <c r="G31" s="5" t="str">
        <f>IFERROR(__xludf.DUMMYFUNCTION("""COMPUTED_VALUE"""),"Not Answered")</f>
        <v>Not Answered</v>
      </c>
      <c r="H31" s="5" t="str">
        <f>IFERROR(__xludf.DUMMYFUNCTION("""COMPUTED_VALUE"""),"Not Answered")</f>
        <v>Not Answered</v>
      </c>
      <c r="I31" s="5" t="str">
        <f>IFERROR(__xludf.DUMMYFUNCTION("""COMPUTED_VALUE"""),"Not Answered")</f>
        <v>Not Answered</v>
      </c>
      <c r="J31" s="5">
        <f>IFERROR(__xludf.DUMMYFUNCTION("""COMPUTED_VALUE"""),4.33598082E8)</f>
        <v>433598082</v>
      </c>
      <c r="K31" s="5" t="str">
        <f>IFERROR(__xludf.DUMMYFUNCTION("""COMPUTED_VALUE"""),"weblink")</f>
        <v>weblink</v>
      </c>
      <c r="L31" s="5" t="str">
        <f>IFERROR(__xludf.DUMMYFUNCTION("""COMPUTED_VALUE"""),"Not Answered")</f>
        <v>Not Answered</v>
      </c>
      <c r="M31" s="5" t="str">
        <f>IFERROR(__xludf.DUMMYFUNCTION("""COMPUTED_VALUE"""),"Posten/Bring")</f>
        <v>Posten/Bring</v>
      </c>
      <c r="N31" s="5" t="str">
        <f>IFERROR(__xludf.DUMMYFUNCTION("""COMPUTED_VALUE"""),"Not Answered")</f>
        <v>Not Answered</v>
      </c>
      <c r="O31" s="5" t="str">
        <f>IFERROR(__xludf.DUMMYFUNCTION("""COMPUTED_VALUE"""),"Not Answered")</f>
        <v>Not Answered</v>
      </c>
      <c r="P31" s="5" t="str">
        <f>IFERROR(__xludf.DUMMYFUNCTION("""COMPUTED_VALUE"""),"Not Answered")</f>
        <v>Not Answered</v>
      </c>
      <c r="Q31" s="5" t="str">
        <f>IFERROR(__xludf.DUMMYFUNCTION("""COMPUTED_VALUE"""),"Not Answered")</f>
        <v>Not Answered</v>
      </c>
      <c r="R31" s="5" t="str">
        <f>IFERROR(__xludf.DUMMYFUNCTION("""COMPUTED_VALUE"""),"Not Answered")</f>
        <v>Not Answered</v>
      </c>
      <c r="S31" s="5" t="str">
        <f>IFERROR(__xludf.DUMMYFUNCTION("""COMPUTED_VALUE"""),"Gunnar Gauslaa Bergem")</f>
        <v>Gunnar Gauslaa Bergem</v>
      </c>
      <c r="T31" s="5" t="str">
        <f>IFERROR(__xludf.DUMMYFUNCTION("""COMPUTED_VALUE"""),"Not Answered")</f>
        <v>Not Answered</v>
      </c>
      <c r="U31" s="5" t="str">
        <f>IFERROR(__xludf.DUMMYFUNCTION("""COMPUTED_VALUE"""),"Not Answered")</f>
        <v>Not Answered</v>
      </c>
      <c r="V31" s="5" t="str">
        <f>IFERROR(__xludf.DUMMYFUNCTION("""COMPUTED_VALUE"""),"Not Answered")</f>
        <v>Not Answered</v>
      </c>
      <c r="W31" s="5" t="str">
        <f>IFERROR(__xludf.DUMMYFUNCTION("""COMPUTED_VALUE"""),"Not Answered")</f>
        <v>Not Answered</v>
      </c>
      <c r="X31" s="5" t="str">
        <f>IFERROR(__xludf.DUMMYFUNCTION("""COMPUTED_VALUE"""),"Not Answered")</f>
        <v>Not Answered</v>
      </c>
      <c r="Y31" s="5" t="str">
        <f>IFERROR(__xludf.DUMMYFUNCTION("""COMPUTED_VALUE"""),"Not Answered")</f>
        <v>Not Answered</v>
      </c>
      <c r="Z31" s="5" t="str">
        <f>IFERROR(__xludf.DUMMYFUNCTION("""COMPUTED_VALUE"""),"Not Answered")</f>
        <v>Not Answered</v>
      </c>
      <c r="AA31" s="5" t="str">
        <f>IFERROR(__xludf.DUMMYFUNCTION("""COMPUTED_VALUE"""),"Not Answered")</f>
        <v>Not Answered</v>
      </c>
      <c r="AB31" s="5" t="str">
        <f>IFERROR(__xludf.DUMMYFUNCTION("""COMPUTED_VALUE"""),"Not Answered")</f>
        <v>Not Answered</v>
      </c>
      <c r="AC31" s="5" t="str">
        <f>IFERROR(__xludf.DUMMYFUNCTION("""COMPUTED_VALUE"""),"Not Answered")</f>
        <v>Not Answered</v>
      </c>
      <c r="AD31" s="5" t="str">
        <f>IFERROR(__xludf.DUMMYFUNCTION("""COMPUTED_VALUE"""),"Not Answered")</f>
        <v>Not Answered</v>
      </c>
      <c r="AE31" s="5" t="str">
        <f>IFERROR(__xludf.DUMMYFUNCTION("""COMPUTED_VALUE"""),"Not Answered")</f>
        <v>Not Answered</v>
      </c>
      <c r="AF31" s="5" t="str">
        <f>IFERROR(__xludf.DUMMYFUNCTION("""COMPUTED_VALUE"""),"Not Answered")</f>
        <v>Not Answered</v>
      </c>
      <c r="AG31" s="5" t="str">
        <f>IFERROR(__xludf.DUMMYFUNCTION("""COMPUTED_VALUE"""),"Ganske fornøyd")</f>
        <v>Ganske fornøyd</v>
      </c>
      <c r="AH31" s="5" t="str">
        <f>IFERROR(__xludf.DUMMYFUNCTION("""COMPUTED_VALUE"""),"Ingenting å utsette på kvalitet på arbeid og pålitelighet. Savner noe mer proaktive bidrag i diskusjoner på teamet og andre forum for utviklere.")</f>
        <v>Ingenting å utsette på kvalitet på arbeid og pålitelighet. Savner noe mer proaktive bidrag i diskusjoner på teamet og andre forum for utviklere.</v>
      </c>
      <c r="AI31" s="5" t="str">
        <f>IFERROR(__xludf.DUMMYFUNCTION("""COMPUTED_VALUE"""),"I stor grad")</f>
        <v>I stor grad</v>
      </c>
      <c r="AJ31" s="5" t="str">
        <f>IFERROR(__xludf.DUMMYFUNCTION("""COMPUTED_VALUE"""),"Not Answered")</f>
        <v>Not Answered</v>
      </c>
      <c r="AK31" s="5" t="str">
        <f>IFERROR(__xludf.DUMMYFUNCTION("""COMPUTED_VALUE"""),"Not Answered")</f>
        <v>Not Answered</v>
      </c>
      <c r="AL31" s="5" t="str">
        <f>IFERROR(__xludf.DUMMYFUNCTION("""COMPUTED_VALUE"""),"Ref kommentar på spørsmål 3. Dette kan gjerne gjøres mer proaktivt enn det gjøres idag.")</f>
        <v>Ref kommentar på spørsmål 3. Dette kan gjerne gjøres mer proaktivt enn det gjøres idag.</v>
      </c>
      <c r="AM31" s="5" t="str">
        <f>IFERROR(__xludf.DUMMYFUNCTION("""COMPUTED_VALUE"""),"Ganske fornøyd")</f>
        <v>Ganske fornøyd</v>
      </c>
      <c r="AN31" s="5" t="str">
        <f>IFERROR(__xludf.DUMMYFUNCTION("""COMPUTED_VALUE"""),"Not Answered")</f>
        <v>Not Answered</v>
      </c>
      <c r="AO31" s="5" t="str">
        <f>IFERROR(__xludf.DUMMYFUNCTION("""COMPUTED_VALUE"""),"Not Answered")</f>
        <v>Not Answered</v>
      </c>
      <c r="AP31" s="5" t="str">
        <f>IFERROR(__xludf.DUMMYFUNCTION("""COMPUTED_VALUE"""),"Jeg har som teamleder ikke kontakt med Overhuset selv.")</f>
        <v>Jeg har som teamleder ikke kontakt med Overhuset selv.</v>
      </c>
      <c r="AQ31" s="5" t="str">
        <f>IFERROR(__xludf.DUMMYFUNCTION("""COMPUTED_VALUE"""),"Not Answered")</f>
        <v>Not Answered</v>
      </c>
      <c r="AR31" s="5" t="str">
        <f>IFERROR(__xludf.DUMMYFUNCTION("""COMPUTED_VALUE"""),"Jeg som teamleder sitter ikke på informasjon om kost.")</f>
        <v>Jeg som teamleder sitter ikke på informasjon om kost.</v>
      </c>
      <c r="AS31" s="5" t="str">
        <f>IFERROR(__xludf.DUMMYFUNCTION("""COMPUTED_VALUE"""),"Not Answered")</f>
        <v>Not Answered</v>
      </c>
      <c r="AT31" s="11">
        <f t="shared" si="3"/>
        <v>45632.32341</v>
      </c>
      <c r="AU31" s="5" t="str">
        <f t="shared" si="4"/>
        <v>Posten/Bring</v>
      </c>
      <c r="AV31" s="5" t="str">
        <f>IFERROR(__xludf.DUMMYFUNCTION("if(ISNUMBER(A31),FILTER(N31:AF31,REGEXMATCH(N31:AF31, ""Not Answered"")=FALSE),)"),"Gunnar Gauslaa Bergem")</f>
        <v>Gunnar Gauslaa Bergem</v>
      </c>
      <c r="AW31" s="5" t="str">
        <f>if(ISNUMBER($C31), VLOOKUP(AV31, konsulenter!$A$1:$B99,2,false),)</f>
        <v>#N/A</v>
      </c>
      <c r="AX31" s="10">
        <f>if(ISNUMBER($C31), VLOOKUP(AG31, mapping!$A$2:$B99,2,false),)</f>
        <v>5</v>
      </c>
      <c r="AY31" s="10" t="str">
        <f t="shared" si="5"/>
        <v>Ingenting å utsette på kvalitet på arbeid og pålitelighet. Savner noe mer proaktive bidrag i diskusjoner på teamet og andre forum for utviklere.</v>
      </c>
      <c r="AZ31" s="10">
        <f>if(ISNUMBER($C31), VLOOKUP(AI31, mapping!$A$2:$B99,2,false),)</f>
        <v>6</v>
      </c>
      <c r="BA31" s="10" t="str">
        <f t="shared" si="6"/>
        <v>-</v>
      </c>
      <c r="BB31" s="10" t="str">
        <f>if(ISNUMBER($C31), VLOOKUP(AK31, mapping!$A$2:$B99,2,false),)</f>
        <v/>
      </c>
      <c r="BC31" s="10" t="str">
        <f t="shared" si="7"/>
        <v>Ref kommentar på spørsmål 3. Dette kan gjerne gjøres mer proaktivt enn det gjøres idag.</v>
      </c>
      <c r="BD31" s="10">
        <f>if(ISNUMBER($C31), VLOOKUP(AM31, mapping!$A$2:$B99,2,false),)</f>
        <v>5</v>
      </c>
      <c r="BE31" s="10" t="str">
        <f t="shared" si="8"/>
        <v>-</v>
      </c>
      <c r="BF31" s="10" t="str">
        <f>if(ISNUMBER($C31), VLOOKUP(AO31, mapping!$A$2:$B99,2,false),)</f>
        <v/>
      </c>
      <c r="BG31" s="10" t="str">
        <f t="shared" si="9"/>
        <v>Jeg har som teamleder ikke kontakt med Overhuset selv.</v>
      </c>
      <c r="BH31" s="10" t="str">
        <f>if(ISNUMBER($C31), VLOOKUP(AQ31, mapping!$A$2:$B99,2,false),)</f>
        <v/>
      </c>
      <c r="BI31" s="10" t="str">
        <f t="shared" ref="BI31:BJ31" si="38">if(ISNUMBER($C31), IF(AR31="Not Answered","-",AR31),)</f>
        <v>Jeg som teamleder sitter ikke på informasjon om kost.</v>
      </c>
      <c r="BJ31" s="10" t="str">
        <f t="shared" si="38"/>
        <v>-</v>
      </c>
    </row>
    <row r="32">
      <c r="A32" s="5">
        <f>IFERROR(__xludf.DUMMYFUNCTION("""COMPUTED_VALUE"""),1.14756477385E11)</f>
        <v>114756477385</v>
      </c>
      <c r="B32" s="11">
        <f>IFERROR(__xludf.DUMMYFUNCTION("""COMPUTED_VALUE"""),45637.39815972222)</f>
        <v>45637.39816</v>
      </c>
      <c r="C32" s="11">
        <f>IFERROR(__xludf.DUMMYFUNCTION("""COMPUTED_VALUE"""),45637.398993055554)</f>
        <v>45637.39899</v>
      </c>
      <c r="D32" s="5" t="str">
        <f>IFERROR(__xludf.DUMMYFUNCTION("""COMPUTED_VALUE"""),"151.187.161.6")</f>
        <v>151.187.161.6</v>
      </c>
      <c r="E32" s="5">
        <f>IFERROR(__xludf.DUMMYFUNCTION("""COMPUTED_VALUE"""),72.0)</f>
        <v>72</v>
      </c>
      <c r="F32" s="5" t="str">
        <f>IFERROR(__xludf.DUMMYFUNCTION("""COMPUTED_VALUE"""),"completed")</f>
        <v>completed</v>
      </c>
      <c r="G32" s="5" t="str">
        <f>IFERROR(__xludf.DUMMYFUNCTION("""COMPUTED_VALUE"""),"Not Answered")</f>
        <v>Not Answered</v>
      </c>
      <c r="H32" s="5" t="str">
        <f>IFERROR(__xludf.DUMMYFUNCTION("""COMPUTED_VALUE"""),"Not Answered")</f>
        <v>Not Answered</v>
      </c>
      <c r="I32" s="5" t="str">
        <f>IFERROR(__xludf.DUMMYFUNCTION("""COMPUTED_VALUE"""),"Not Answered")</f>
        <v>Not Answered</v>
      </c>
      <c r="J32" s="5">
        <f>IFERROR(__xludf.DUMMYFUNCTION("""COMPUTED_VALUE"""),4.33188881E8)</f>
        <v>433188881</v>
      </c>
      <c r="K32" s="5" t="str">
        <f>IFERROR(__xludf.DUMMYFUNCTION("""COMPUTED_VALUE"""),"weblink")</f>
        <v>weblink</v>
      </c>
      <c r="L32" s="5" t="str">
        <f>IFERROR(__xludf.DUMMYFUNCTION("""COMPUTED_VALUE"""),"Not Answered")</f>
        <v>Not Answered</v>
      </c>
      <c r="M32" s="5" t="str">
        <f>IFERROR(__xludf.DUMMYFUNCTION("""COMPUTED_VALUE"""),"Skatteetaten")</f>
        <v>Skatteetaten</v>
      </c>
      <c r="N32" s="5" t="str">
        <f>IFERROR(__xludf.DUMMYFUNCTION("""COMPUTED_VALUE"""),"Rune Offerdal")</f>
        <v>Rune Offerdal</v>
      </c>
      <c r="O32" s="5" t="str">
        <f>IFERROR(__xludf.DUMMYFUNCTION("""COMPUTED_VALUE"""),"Not Answered")</f>
        <v>Not Answered</v>
      </c>
      <c r="P32" s="5" t="str">
        <f>IFERROR(__xludf.DUMMYFUNCTION("""COMPUTED_VALUE"""),"Not Answered")</f>
        <v>Not Answered</v>
      </c>
      <c r="Q32" s="5" t="str">
        <f>IFERROR(__xludf.DUMMYFUNCTION("""COMPUTED_VALUE"""),"Not Answered")</f>
        <v>Not Answered</v>
      </c>
      <c r="R32" s="5" t="str">
        <f>IFERROR(__xludf.DUMMYFUNCTION("""COMPUTED_VALUE"""),"Not Answered")</f>
        <v>Not Answered</v>
      </c>
      <c r="S32" s="5" t="str">
        <f>IFERROR(__xludf.DUMMYFUNCTION("""COMPUTED_VALUE"""),"Not Answered")</f>
        <v>Not Answered</v>
      </c>
      <c r="T32" s="5" t="str">
        <f>IFERROR(__xludf.DUMMYFUNCTION("""COMPUTED_VALUE"""),"Not Answered")</f>
        <v>Not Answered</v>
      </c>
      <c r="U32" s="5" t="str">
        <f>IFERROR(__xludf.DUMMYFUNCTION("""COMPUTED_VALUE"""),"Not Answered")</f>
        <v>Not Answered</v>
      </c>
      <c r="V32" s="5" t="str">
        <f>IFERROR(__xludf.DUMMYFUNCTION("""COMPUTED_VALUE"""),"Not Answered")</f>
        <v>Not Answered</v>
      </c>
      <c r="W32" s="5" t="str">
        <f>IFERROR(__xludf.DUMMYFUNCTION("""COMPUTED_VALUE"""),"Not Answered")</f>
        <v>Not Answered</v>
      </c>
      <c r="X32" s="5" t="str">
        <f>IFERROR(__xludf.DUMMYFUNCTION("""COMPUTED_VALUE"""),"Not Answered")</f>
        <v>Not Answered</v>
      </c>
      <c r="Y32" s="5" t="str">
        <f>IFERROR(__xludf.DUMMYFUNCTION("""COMPUTED_VALUE"""),"Not Answered")</f>
        <v>Not Answered</v>
      </c>
      <c r="Z32" s="5" t="str">
        <f>IFERROR(__xludf.DUMMYFUNCTION("""COMPUTED_VALUE"""),"Not Answered")</f>
        <v>Not Answered</v>
      </c>
      <c r="AA32" s="5" t="str">
        <f>IFERROR(__xludf.DUMMYFUNCTION("""COMPUTED_VALUE"""),"Not Answered")</f>
        <v>Not Answered</v>
      </c>
      <c r="AB32" s="5" t="str">
        <f>IFERROR(__xludf.DUMMYFUNCTION("""COMPUTED_VALUE"""),"Not Answered")</f>
        <v>Not Answered</v>
      </c>
      <c r="AC32" s="5" t="str">
        <f>IFERROR(__xludf.DUMMYFUNCTION("""COMPUTED_VALUE"""),"Not Answered")</f>
        <v>Not Answered</v>
      </c>
      <c r="AD32" s="5" t="str">
        <f>IFERROR(__xludf.DUMMYFUNCTION("""COMPUTED_VALUE"""),"Not Answered")</f>
        <v>Not Answered</v>
      </c>
      <c r="AE32" s="5" t="str">
        <f>IFERROR(__xludf.DUMMYFUNCTION("""COMPUTED_VALUE"""),"Not Answered")</f>
        <v>Not Answered</v>
      </c>
      <c r="AF32" s="5" t="str">
        <f>IFERROR(__xludf.DUMMYFUNCTION("""COMPUTED_VALUE"""),"Not Answered")</f>
        <v>Not Answered</v>
      </c>
      <c r="AG32" s="5" t="str">
        <f>IFERROR(__xludf.DUMMYFUNCTION("""COMPUTED_VALUE"""),"Svært fornøyd")</f>
        <v>Svært fornøyd</v>
      </c>
      <c r="AH32" s="5" t="str">
        <f>IFERROR(__xludf.DUMMYFUNCTION("""COMPUTED_VALUE"""),"Not Answered")</f>
        <v>Not Answered</v>
      </c>
      <c r="AI32" s="5" t="str">
        <f>IFERROR(__xludf.DUMMYFUNCTION("""COMPUTED_VALUE"""),"I stor grad")</f>
        <v>I stor grad</v>
      </c>
      <c r="AJ32" s="5" t="str">
        <f>IFERROR(__xludf.DUMMYFUNCTION("""COMPUTED_VALUE"""),"Not Answered")</f>
        <v>Not Answered</v>
      </c>
      <c r="AK32" s="5" t="str">
        <f>IFERROR(__xludf.DUMMYFUNCTION("""COMPUTED_VALUE"""),"Svært fornøyd")</f>
        <v>Svært fornøyd</v>
      </c>
      <c r="AL32" s="5" t="str">
        <f>IFERROR(__xludf.DUMMYFUNCTION("""COMPUTED_VALUE"""),"Not Answered")</f>
        <v>Not Answered</v>
      </c>
      <c r="AM32" s="5" t="str">
        <f>IFERROR(__xludf.DUMMYFUNCTION("""COMPUTED_VALUE"""),"Svært fornøyd")</f>
        <v>Svært fornøyd</v>
      </c>
      <c r="AN32" s="5" t="str">
        <f>IFERROR(__xludf.DUMMYFUNCTION("""COMPUTED_VALUE"""),"Not Answered")</f>
        <v>Not Answered</v>
      </c>
      <c r="AO32" s="5" t="str">
        <f>IFERROR(__xludf.DUMMYFUNCTION("""COMPUTED_VALUE"""),"Not Answered")</f>
        <v>Not Answered</v>
      </c>
      <c r="AP32" s="5" t="str">
        <f>IFERROR(__xludf.DUMMYFUNCTION("""COMPUTED_VALUE"""),"Not Answered")</f>
        <v>Not Answered</v>
      </c>
      <c r="AQ32" s="5" t="str">
        <f>IFERROR(__xludf.DUMMYFUNCTION("""COMPUTED_VALUE"""),"5 - star")</f>
        <v>5 - star</v>
      </c>
      <c r="AR32" s="5" t="str">
        <f>IFERROR(__xludf.DUMMYFUNCTION("""COMPUTED_VALUE"""),"Not Answered")</f>
        <v>Not Answered</v>
      </c>
      <c r="AS32" s="5" t="str">
        <f>IFERROR(__xludf.DUMMYFUNCTION("""COMPUTED_VALUE"""),"Not Answered")</f>
        <v>Not Answered</v>
      </c>
      <c r="AT32" s="11">
        <f t="shared" si="3"/>
        <v>45637.39816</v>
      </c>
      <c r="AU32" s="5" t="str">
        <f t="shared" si="4"/>
        <v>Skatteetaten</v>
      </c>
      <c r="AV32" s="5" t="str">
        <f>IFERROR(__xludf.DUMMYFUNCTION("if(ISNUMBER(A32),FILTER(N32:AF32,REGEXMATCH(N32:AF32, ""Not Answered"")=FALSE),)"),"Rune Offerdal")</f>
        <v>Rune Offerdal</v>
      </c>
      <c r="AW32" s="5" t="str">
        <f>if(ISNUMBER($C32), VLOOKUP(AV32, konsulenter!$A$1:$B99,2,false),)</f>
        <v>#N/A</v>
      </c>
      <c r="AX32" s="10">
        <f>if(ISNUMBER($C32), VLOOKUP(AG32, mapping!$A$2:$B99,2,false),)</f>
        <v>6</v>
      </c>
      <c r="AY32" s="10" t="str">
        <f t="shared" si="5"/>
        <v>-</v>
      </c>
      <c r="AZ32" s="10">
        <f>if(ISNUMBER($C32), VLOOKUP(AI32, mapping!$A$2:$B99,2,false),)</f>
        <v>6</v>
      </c>
      <c r="BA32" s="10" t="str">
        <f t="shared" si="6"/>
        <v>-</v>
      </c>
      <c r="BB32" s="10">
        <f>if(ISNUMBER($C32), VLOOKUP(AK32, mapping!$A$2:$B99,2,false),)</f>
        <v>6</v>
      </c>
      <c r="BC32" s="10" t="str">
        <f t="shared" si="7"/>
        <v>-</v>
      </c>
      <c r="BD32" s="10">
        <f>if(ISNUMBER($C32), VLOOKUP(AM32, mapping!$A$2:$B99,2,false),)</f>
        <v>6</v>
      </c>
      <c r="BE32" s="10" t="str">
        <f t="shared" si="8"/>
        <v>-</v>
      </c>
      <c r="BF32" s="10" t="str">
        <f>if(ISNUMBER($C32), VLOOKUP(AO32, mapping!$A$2:$B99,2,false),)</f>
        <v/>
      </c>
      <c r="BG32" s="10" t="str">
        <f t="shared" si="9"/>
        <v>-</v>
      </c>
      <c r="BH32" s="10">
        <f>if(ISNUMBER($C32), VLOOKUP(AQ32, mapping!$A$2:$B99,2,false),)</f>
        <v>5</v>
      </c>
      <c r="BI32" s="10" t="str">
        <f t="shared" ref="BI32:BJ32" si="39">if(ISNUMBER($C32), IF(AR32="Not Answered","-",AR32),)</f>
        <v>-</v>
      </c>
      <c r="BJ32" s="10" t="str">
        <f t="shared" si="39"/>
        <v>-</v>
      </c>
    </row>
    <row r="33">
      <c r="AT33" s="5" t="str">
        <f t="shared" si="3"/>
        <v/>
      </c>
      <c r="AU33" s="5" t="str">
        <f t="shared" si="4"/>
        <v/>
      </c>
      <c r="AV33" s="5" t="str">
        <f>IFERROR(__xludf.DUMMYFUNCTION("if(ISNUMBER(A33),FILTER(N33:AF33,REGEXMATCH(N33:AF33, ""Not Answered"")=FALSE),)"),"")</f>
        <v/>
      </c>
      <c r="AW33" s="5" t="str">
        <f>if(ISNUMBER($C33), VLOOKUP(AV33, konsulenter!$A$1:$B99,2,false),)</f>
        <v/>
      </c>
      <c r="AX33" s="10" t="str">
        <f>if(ISNUMBER($C33), VLOOKUP(AG33, mapping!$A$2:$B99,2,false),)</f>
        <v/>
      </c>
      <c r="AY33" s="10" t="str">
        <f t="shared" si="5"/>
        <v/>
      </c>
      <c r="AZ33" s="10" t="str">
        <f>if(ISNUMBER($C33), VLOOKUP(AI33, mapping!$A$2:$B99,2,false),)</f>
        <v/>
      </c>
      <c r="BA33" s="10" t="str">
        <f t="shared" si="6"/>
        <v/>
      </c>
      <c r="BB33" s="10" t="str">
        <f>if(ISNUMBER($C33), VLOOKUP(AK33, mapping!$A$2:$B99,2,false),)</f>
        <v/>
      </c>
      <c r="BC33" s="10" t="str">
        <f t="shared" si="7"/>
        <v/>
      </c>
      <c r="BD33" s="10" t="str">
        <f>if(ISNUMBER($C33), VLOOKUP(AM33, mapping!$A$2:$B99,2,false),)</f>
        <v/>
      </c>
      <c r="BE33" s="10" t="str">
        <f t="shared" si="8"/>
        <v/>
      </c>
      <c r="BF33" s="10" t="str">
        <f>if(ISNUMBER($C33), VLOOKUP(AO33, mapping!$A$2:$B99,2,false),)</f>
        <v/>
      </c>
      <c r="BG33" s="10" t="str">
        <f t="shared" si="9"/>
        <v/>
      </c>
      <c r="BH33" s="10" t="str">
        <f>if(ISNUMBER($C33), VLOOKUP(AQ33, mapping!$A$2:$B99,2,false),)</f>
        <v/>
      </c>
      <c r="BI33" s="10" t="str">
        <f t="shared" ref="BI33:BJ33" si="40">if(ISNUMBER($C33), IF(AR33="Not Answered","-",AR33),)</f>
        <v/>
      </c>
      <c r="BJ33" s="10" t="str">
        <f t="shared" si="40"/>
        <v/>
      </c>
    </row>
    <row r="34">
      <c r="AT34" s="5" t="str">
        <f t="shared" si="3"/>
        <v/>
      </c>
      <c r="AU34" s="5" t="str">
        <f t="shared" si="4"/>
        <v/>
      </c>
      <c r="AV34" s="5" t="str">
        <f>IFERROR(__xludf.DUMMYFUNCTION("if(ISNUMBER(A34),FILTER(N34:AF34,REGEXMATCH(N34:AF34, ""Not Answered"")=FALSE),)"),"")</f>
        <v/>
      </c>
      <c r="AW34" s="5" t="str">
        <f>if(ISNUMBER($C34), VLOOKUP(AV34, konsulenter!$A$1:$B99,2,false),)</f>
        <v/>
      </c>
      <c r="AX34" s="10" t="str">
        <f>if(ISNUMBER($C34), VLOOKUP(AG34, mapping!$A$2:$B99,2,false),)</f>
        <v/>
      </c>
      <c r="AY34" s="10" t="str">
        <f t="shared" si="5"/>
        <v/>
      </c>
      <c r="AZ34" s="10" t="str">
        <f>if(ISNUMBER($C34), VLOOKUP(AI34, mapping!$A$2:$B99,2,false),)</f>
        <v/>
      </c>
      <c r="BA34" s="10" t="str">
        <f t="shared" si="6"/>
        <v/>
      </c>
      <c r="BB34" s="10" t="str">
        <f>if(ISNUMBER($C34), VLOOKUP(AK34, mapping!$A$2:$B99,2,false),)</f>
        <v/>
      </c>
      <c r="BC34" s="10" t="str">
        <f t="shared" si="7"/>
        <v/>
      </c>
      <c r="BD34" s="10" t="str">
        <f>if(ISNUMBER($C34), VLOOKUP(AM34, mapping!$A$2:$B99,2,false),)</f>
        <v/>
      </c>
      <c r="BE34" s="10" t="str">
        <f t="shared" si="8"/>
        <v/>
      </c>
      <c r="BF34" s="10" t="str">
        <f>if(ISNUMBER($C34), VLOOKUP(AO34, mapping!$A$2:$B99,2,false),)</f>
        <v/>
      </c>
      <c r="BG34" s="10" t="str">
        <f t="shared" si="9"/>
        <v/>
      </c>
      <c r="BH34" s="10" t="str">
        <f>if(ISNUMBER($C34), VLOOKUP(AQ34, mapping!$A$2:$B99,2,false),)</f>
        <v/>
      </c>
      <c r="BI34" s="10" t="str">
        <f t="shared" ref="BI34:BJ34" si="41">if(ISNUMBER($C34), IF(AR34="Not Answered","-",AR34),)</f>
        <v/>
      </c>
      <c r="BJ34" s="10" t="str">
        <f t="shared" si="41"/>
        <v/>
      </c>
    </row>
    <row r="35">
      <c r="AT35" s="5" t="str">
        <f t="shared" si="3"/>
        <v/>
      </c>
      <c r="AU35" s="5" t="str">
        <f t="shared" si="4"/>
        <v/>
      </c>
      <c r="AV35" s="5" t="str">
        <f>IFERROR(__xludf.DUMMYFUNCTION("if(ISNUMBER(A35),FILTER(N35:AF35,REGEXMATCH(N35:AF35, ""Not Answered"")=FALSE),)"),"")</f>
        <v/>
      </c>
      <c r="AW35" s="5" t="str">
        <f>if(ISNUMBER($C35), VLOOKUP(AV35, konsulenter!$A$1:$B99,2,false),)</f>
        <v/>
      </c>
      <c r="AX35" s="10" t="str">
        <f>if(ISNUMBER($C35), VLOOKUP(AG35, mapping!$A$2:$B99,2,false),)</f>
        <v/>
      </c>
      <c r="AY35" s="10" t="str">
        <f t="shared" si="5"/>
        <v/>
      </c>
      <c r="AZ35" s="10" t="str">
        <f>if(ISNUMBER($C35), VLOOKUP(AI35, mapping!$A$2:$B99,2,false),)</f>
        <v/>
      </c>
      <c r="BA35" s="10" t="str">
        <f t="shared" si="6"/>
        <v/>
      </c>
      <c r="BB35" s="10" t="str">
        <f>if(ISNUMBER($C35), VLOOKUP(AK35, mapping!$A$2:$B99,2,false),)</f>
        <v/>
      </c>
      <c r="BC35" s="10" t="str">
        <f t="shared" si="7"/>
        <v/>
      </c>
      <c r="BD35" s="10" t="str">
        <f>if(ISNUMBER($C35), VLOOKUP(AM35, mapping!$A$2:$B99,2,false),)</f>
        <v/>
      </c>
      <c r="BE35" s="10" t="str">
        <f t="shared" si="8"/>
        <v/>
      </c>
      <c r="BF35" s="10" t="str">
        <f>if(ISNUMBER($C35), VLOOKUP(AO35, mapping!$A$2:$B99,2,false),)</f>
        <v/>
      </c>
      <c r="BG35" s="10" t="str">
        <f t="shared" si="9"/>
        <v/>
      </c>
      <c r="BH35" s="10" t="str">
        <f>if(ISNUMBER($C35), VLOOKUP(AQ35, mapping!$A$2:$B99,2,false),)</f>
        <v/>
      </c>
      <c r="BI35" s="10" t="str">
        <f t="shared" ref="BI35:BJ35" si="42">if(ISNUMBER($C35), IF(AR35="Not Answered","-",AR35),)</f>
        <v/>
      </c>
      <c r="BJ35" s="10" t="str">
        <f t="shared" si="42"/>
        <v/>
      </c>
    </row>
    <row r="36">
      <c r="AT36" s="5" t="str">
        <f t="shared" si="3"/>
        <v/>
      </c>
      <c r="AU36" s="5" t="str">
        <f t="shared" si="4"/>
        <v/>
      </c>
      <c r="AV36" s="5" t="str">
        <f>IFERROR(__xludf.DUMMYFUNCTION("if(ISNUMBER(A36),FILTER(N36:AF36,REGEXMATCH(N36:AF36, ""Not Answered"")=FALSE),)"),"")</f>
        <v/>
      </c>
      <c r="AW36" s="5" t="str">
        <f>if(ISNUMBER($C36), VLOOKUP(AV36, konsulenter!$A$1:$B99,2,false),)</f>
        <v/>
      </c>
      <c r="AX36" s="10" t="str">
        <f>if(ISNUMBER($C36), VLOOKUP(AG36, mapping!$A$2:$B99,2,false),)</f>
        <v/>
      </c>
      <c r="AY36" s="10" t="str">
        <f t="shared" si="5"/>
        <v/>
      </c>
      <c r="AZ36" s="10" t="str">
        <f>if(ISNUMBER($C36), VLOOKUP(AI36, mapping!$A$2:$B99,2,false),)</f>
        <v/>
      </c>
      <c r="BA36" s="10" t="str">
        <f t="shared" si="6"/>
        <v/>
      </c>
      <c r="BB36" s="10" t="str">
        <f>if(ISNUMBER($C36), VLOOKUP(AK36, mapping!$A$2:$B99,2,false),)</f>
        <v/>
      </c>
      <c r="BC36" s="10" t="str">
        <f t="shared" si="7"/>
        <v/>
      </c>
      <c r="BD36" s="10" t="str">
        <f>if(ISNUMBER($C36), VLOOKUP(AM36, mapping!$A$2:$B99,2,false),)</f>
        <v/>
      </c>
      <c r="BE36" s="10" t="str">
        <f t="shared" si="8"/>
        <v/>
      </c>
      <c r="BF36" s="10" t="str">
        <f>if(ISNUMBER($C36), VLOOKUP(AO36, mapping!$A$2:$B99,2,false),)</f>
        <v/>
      </c>
      <c r="BG36" s="10" t="str">
        <f t="shared" si="9"/>
        <v/>
      </c>
      <c r="BH36" s="10" t="str">
        <f>if(ISNUMBER($C36), VLOOKUP(AQ36, mapping!$A$2:$B99,2,false),)</f>
        <v/>
      </c>
      <c r="BI36" s="10" t="str">
        <f t="shared" ref="BI36:BJ36" si="43">if(ISNUMBER($C36), IF(AR36="Not Answered","-",AR36),)</f>
        <v/>
      </c>
      <c r="BJ36" s="10" t="str">
        <f t="shared" si="43"/>
        <v/>
      </c>
    </row>
    <row r="37">
      <c r="AT37" s="5" t="str">
        <f t="shared" si="3"/>
        <v/>
      </c>
      <c r="AU37" s="5" t="str">
        <f t="shared" si="4"/>
        <v/>
      </c>
      <c r="AV37" s="5" t="str">
        <f>IFERROR(__xludf.DUMMYFUNCTION("if(ISNUMBER(A37),FILTER(N37:AF37,REGEXMATCH(N37:AF37, ""Not Answered"")=FALSE),)"),"")</f>
        <v/>
      </c>
      <c r="AW37" s="5" t="str">
        <f>if(ISNUMBER($C37), VLOOKUP(AV37, konsulenter!$A$1:$B99,2,false),)</f>
        <v/>
      </c>
      <c r="AX37" s="10" t="str">
        <f>if(ISNUMBER($C37), VLOOKUP(AG37, mapping!$A$2:$B99,2,false),)</f>
        <v/>
      </c>
      <c r="AY37" s="10" t="str">
        <f t="shared" si="5"/>
        <v/>
      </c>
      <c r="AZ37" s="10" t="str">
        <f>if(ISNUMBER($C37), VLOOKUP(AI37, mapping!$A$2:$B99,2,false),)</f>
        <v/>
      </c>
      <c r="BA37" s="10" t="str">
        <f t="shared" si="6"/>
        <v/>
      </c>
      <c r="BB37" s="10" t="str">
        <f>if(ISNUMBER($C37), VLOOKUP(AK37, mapping!$A$2:$B99,2,false),)</f>
        <v/>
      </c>
      <c r="BC37" s="10" t="str">
        <f t="shared" si="7"/>
        <v/>
      </c>
      <c r="BD37" s="10" t="str">
        <f>if(ISNUMBER($C37), VLOOKUP(AM37, mapping!$A$2:$B99,2,false),)</f>
        <v/>
      </c>
      <c r="BE37" s="10" t="str">
        <f t="shared" si="8"/>
        <v/>
      </c>
      <c r="BF37" s="10" t="str">
        <f>if(ISNUMBER($C37), VLOOKUP(AO37, mapping!$A$2:$B99,2,false),)</f>
        <v/>
      </c>
      <c r="BG37" s="10" t="str">
        <f t="shared" si="9"/>
        <v/>
      </c>
      <c r="BH37" s="10" t="str">
        <f>if(ISNUMBER($C37), VLOOKUP(AQ37, mapping!$A$2:$B99,2,false),)</f>
        <v/>
      </c>
      <c r="BI37" s="10" t="str">
        <f t="shared" ref="BI37:BJ37" si="44">if(ISNUMBER($C37), IF(AR37="Not Answered","-",AR37),)</f>
        <v/>
      </c>
      <c r="BJ37" s="10" t="str">
        <f t="shared" si="44"/>
        <v/>
      </c>
    </row>
    <row r="38">
      <c r="AT38" s="5" t="str">
        <f t="shared" si="3"/>
        <v/>
      </c>
      <c r="AU38" s="5" t="str">
        <f t="shared" si="4"/>
        <v/>
      </c>
      <c r="AV38" s="5" t="str">
        <f>IFERROR(__xludf.DUMMYFUNCTION("if(ISNUMBER(A38),FILTER(N38:AF38,REGEXMATCH(N38:AF38, ""Not Answered"")=FALSE),)"),"")</f>
        <v/>
      </c>
      <c r="AW38" s="5" t="str">
        <f>if(ISNUMBER($C38), VLOOKUP(AV38, konsulenter!$A$1:$B99,2,false),)</f>
        <v/>
      </c>
      <c r="AX38" s="10" t="str">
        <f>if(ISNUMBER($C38), VLOOKUP(AG38, mapping!$A$2:$B99,2,false),)</f>
        <v/>
      </c>
      <c r="AY38" s="10" t="str">
        <f t="shared" si="5"/>
        <v/>
      </c>
      <c r="AZ38" s="10" t="str">
        <f>if(ISNUMBER($C38), VLOOKUP(AI38, mapping!$A$2:$B99,2,false),)</f>
        <v/>
      </c>
      <c r="BA38" s="10" t="str">
        <f t="shared" si="6"/>
        <v/>
      </c>
      <c r="BB38" s="10" t="str">
        <f>if(ISNUMBER($C38), VLOOKUP(AK38, mapping!$A$2:$B99,2,false),)</f>
        <v/>
      </c>
      <c r="BC38" s="10" t="str">
        <f t="shared" si="7"/>
        <v/>
      </c>
      <c r="BD38" s="10" t="str">
        <f>if(ISNUMBER($C38), VLOOKUP(AM38, mapping!$A$2:$B99,2,false),)</f>
        <v/>
      </c>
      <c r="BE38" s="10" t="str">
        <f t="shared" si="8"/>
        <v/>
      </c>
      <c r="BF38" s="10" t="str">
        <f>if(ISNUMBER($C38), VLOOKUP(AO38, mapping!$A$2:$B99,2,false),)</f>
        <v/>
      </c>
      <c r="BG38" s="10" t="str">
        <f t="shared" si="9"/>
        <v/>
      </c>
      <c r="BH38" s="10" t="str">
        <f>if(ISNUMBER($C38), VLOOKUP(AQ38, mapping!$A$2:$B99,2,false),)</f>
        <v/>
      </c>
      <c r="BI38" s="10" t="str">
        <f t="shared" ref="BI38:BJ38" si="45">if(ISNUMBER($C38), IF(AR38="Not Answered","-",AR38),)</f>
        <v/>
      </c>
      <c r="BJ38" s="10" t="str">
        <f t="shared" si="45"/>
        <v/>
      </c>
    </row>
    <row r="39">
      <c r="AT39" s="5" t="str">
        <f t="shared" si="3"/>
        <v/>
      </c>
      <c r="AU39" s="5" t="str">
        <f t="shared" si="4"/>
        <v/>
      </c>
      <c r="AV39" s="5" t="str">
        <f>IFERROR(__xludf.DUMMYFUNCTION("if(ISNUMBER(A39),FILTER(N39:AF39,REGEXMATCH(N39:AF39, ""Not Answered"")=FALSE),)"),"")</f>
        <v/>
      </c>
      <c r="AW39" s="5" t="str">
        <f>if(ISNUMBER($C39), VLOOKUP(AV39, konsulenter!$A$1:$B99,2,false),)</f>
        <v/>
      </c>
      <c r="AX39" s="10" t="str">
        <f>if(ISNUMBER($C39), VLOOKUP(AG39, mapping!$A$2:$B99,2,false),)</f>
        <v/>
      </c>
      <c r="AY39" s="10" t="str">
        <f t="shared" si="5"/>
        <v/>
      </c>
      <c r="AZ39" s="10" t="str">
        <f>if(ISNUMBER($C39), VLOOKUP(AI39, mapping!$A$2:$B99,2,false),)</f>
        <v/>
      </c>
      <c r="BA39" s="10" t="str">
        <f t="shared" si="6"/>
        <v/>
      </c>
      <c r="BB39" s="10" t="str">
        <f>if(ISNUMBER($C39), VLOOKUP(AK39, mapping!$A$2:$B99,2,false),)</f>
        <v/>
      </c>
      <c r="BC39" s="10" t="str">
        <f t="shared" si="7"/>
        <v/>
      </c>
      <c r="BD39" s="10" t="str">
        <f>if(ISNUMBER($C39), VLOOKUP(AM39, mapping!$A$2:$B99,2,false),)</f>
        <v/>
      </c>
      <c r="BE39" s="10" t="str">
        <f t="shared" si="8"/>
        <v/>
      </c>
      <c r="BF39" s="10" t="str">
        <f>if(ISNUMBER($C39), VLOOKUP(AO39, mapping!$A$2:$B99,2,false),)</f>
        <v/>
      </c>
      <c r="BG39" s="10" t="str">
        <f t="shared" si="9"/>
        <v/>
      </c>
      <c r="BH39" s="10" t="str">
        <f>if(ISNUMBER($C39), VLOOKUP(AQ39, mapping!$A$2:$B99,2,false),)</f>
        <v/>
      </c>
      <c r="BI39" s="10" t="str">
        <f t="shared" ref="BI39:BJ39" si="46">if(ISNUMBER($C39), IF(AR39="Not Answered","-",AR39),)</f>
        <v/>
      </c>
      <c r="BJ39" s="10" t="str">
        <f t="shared" si="46"/>
        <v/>
      </c>
    </row>
    <row r="40">
      <c r="AT40" s="5" t="str">
        <f t="shared" si="3"/>
        <v/>
      </c>
      <c r="AU40" s="5" t="str">
        <f t="shared" si="4"/>
        <v/>
      </c>
      <c r="AV40" s="5" t="str">
        <f>IFERROR(__xludf.DUMMYFUNCTION("if(ISNUMBER(A40),FILTER(N40:AF40,REGEXMATCH(N40:AF40, ""Not Answered"")=FALSE),)"),"")</f>
        <v/>
      </c>
      <c r="AW40" s="5" t="str">
        <f>if(ISNUMBER($C40), VLOOKUP(AV40, konsulenter!$A$1:$B99,2,false),)</f>
        <v/>
      </c>
      <c r="AX40" s="10" t="str">
        <f>if(ISNUMBER($C40), VLOOKUP(AG40, mapping!$A$2:$B99,2,false),)</f>
        <v/>
      </c>
      <c r="AY40" s="10" t="str">
        <f t="shared" si="5"/>
        <v/>
      </c>
      <c r="AZ40" s="10" t="str">
        <f>if(ISNUMBER($C40), VLOOKUP(AI40, mapping!$A$2:$B99,2,false),)</f>
        <v/>
      </c>
      <c r="BA40" s="10" t="str">
        <f t="shared" si="6"/>
        <v/>
      </c>
      <c r="BB40" s="10" t="str">
        <f>if(ISNUMBER($C40), VLOOKUP(AK40, mapping!$A$2:$B99,2,false),)</f>
        <v/>
      </c>
      <c r="BC40" s="10" t="str">
        <f t="shared" si="7"/>
        <v/>
      </c>
      <c r="BD40" s="10" t="str">
        <f>if(ISNUMBER($C40), VLOOKUP(AM40, mapping!$A$2:$B99,2,false),)</f>
        <v/>
      </c>
      <c r="BE40" s="10" t="str">
        <f t="shared" si="8"/>
        <v/>
      </c>
      <c r="BF40" s="10" t="str">
        <f>if(ISNUMBER($C40), VLOOKUP(AO40, mapping!$A$2:$B99,2,false),)</f>
        <v/>
      </c>
      <c r="BG40" s="10" t="str">
        <f t="shared" si="9"/>
        <v/>
      </c>
      <c r="BH40" s="10" t="str">
        <f>if(ISNUMBER($C40), VLOOKUP(AQ40, mapping!$A$2:$B99,2,false),)</f>
        <v/>
      </c>
      <c r="BI40" s="10" t="str">
        <f t="shared" ref="BI40:BJ40" si="47">if(ISNUMBER($C40), IF(AR40="Not Answered","-",AR40),)</f>
        <v/>
      </c>
      <c r="BJ40" s="10" t="str">
        <f t="shared" si="47"/>
        <v/>
      </c>
    </row>
    <row r="41">
      <c r="AT41" s="5" t="str">
        <f t="shared" si="3"/>
        <v/>
      </c>
      <c r="AU41" s="5" t="str">
        <f t="shared" si="4"/>
        <v/>
      </c>
      <c r="AV41" s="5" t="str">
        <f>IFERROR(__xludf.DUMMYFUNCTION("if(ISNUMBER(A41),FILTER(N41:AF41,REGEXMATCH(N41:AF41, ""Not Answered"")=FALSE),)"),"")</f>
        <v/>
      </c>
      <c r="AW41" s="5" t="str">
        <f>if(ISNUMBER($C41), VLOOKUP(AV41, konsulenter!$A$1:$B99,2,false),)</f>
        <v/>
      </c>
      <c r="AX41" s="10" t="str">
        <f>if(ISNUMBER($C41), VLOOKUP(AG41, mapping!$A$2:$B99,2,false),)</f>
        <v/>
      </c>
      <c r="AY41" s="10" t="str">
        <f t="shared" si="5"/>
        <v/>
      </c>
      <c r="AZ41" s="10" t="str">
        <f>if(ISNUMBER($C41), VLOOKUP(AI41, mapping!$A$2:$B99,2,false),)</f>
        <v/>
      </c>
      <c r="BA41" s="10" t="str">
        <f t="shared" si="6"/>
        <v/>
      </c>
      <c r="BB41" s="10" t="str">
        <f>if(ISNUMBER($C41), VLOOKUP(AK41, mapping!$A$2:$B99,2,false),)</f>
        <v/>
      </c>
      <c r="BC41" s="10" t="str">
        <f t="shared" si="7"/>
        <v/>
      </c>
      <c r="BD41" s="10" t="str">
        <f>if(ISNUMBER($C41), VLOOKUP(AM41, mapping!$A$2:$B99,2,false),)</f>
        <v/>
      </c>
      <c r="BE41" s="10" t="str">
        <f t="shared" si="8"/>
        <v/>
      </c>
      <c r="BF41" s="10" t="str">
        <f>if(ISNUMBER($C41), VLOOKUP(AO41, mapping!$A$2:$B99,2,false),)</f>
        <v/>
      </c>
      <c r="BG41" s="10" t="str">
        <f t="shared" si="9"/>
        <v/>
      </c>
      <c r="BH41" s="10" t="str">
        <f>if(ISNUMBER($C41), VLOOKUP(AQ41, mapping!$A$2:$B99,2,false),)</f>
        <v/>
      </c>
      <c r="BI41" s="10" t="str">
        <f t="shared" ref="BI41:BJ41" si="48">if(ISNUMBER($C41), IF(AR41="Not Answered","-",AR41),)</f>
        <v/>
      </c>
      <c r="BJ41" s="10" t="str">
        <f t="shared" si="48"/>
        <v/>
      </c>
    </row>
    <row r="42">
      <c r="AT42" s="5" t="str">
        <f t="shared" si="3"/>
        <v/>
      </c>
      <c r="AU42" s="5" t="str">
        <f t="shared" si="4"/>
        <v/>
      </c>
      <c r="AV42" s="5" t="str">
        <f>IFERROR(__xludf.DUMMYFUNCTION("if(ISNUMBER(A42),FILTER(N42:AF42,REGEXMATCH(N42:AF42, ""Not Answered"")=FALSE),)"),"")</f>
        <v/>
      </c>
      <c r="AW42" s="5" t="str">
        <f>if(ISNUMBER($C42), VLOOKUP(AV42, konsulenter!$A$1:$B99,2,false),)</f>
        <v/>
      </c>
      <c r="AX42" s="10" t="str">
        <f>if(ISNUMBER($C42), VLOOKUP(AG42, mapping!$A$2:$B99,2,false),)</f>
        <v/>
      </c>
      <c r="AY42" s="10" t="str">
        <f t="shared" si="5"/>
        <v/>
      </c>
      <c r="AZ42" s="10" t="str">
        <f>if(ISNUMBER($C42), VLOOKUP(AI42, mapping!$A$2:$B99,2,false),)</f>
        <v/>
      </c>
      <c r="BA42" s="10" t="str">
        <f t="shared" si="6"/>
        <v/>
      </c>
      <c r="BB42" s="10" t="str">
        <f>if(ISNUMBER($C42), VLOOKUP(AK42, mapping!$A$2:$B99,2,false),)</f>
        <v/>
      </c>
      <c r="BC42" s="10" t="str">
        <f t="shared" si="7"/>
        <v/>
      </c>
      <c r="BD42" s="10" t="str">
        <f>if(ISNUMBER($C42), VLOOKUP(AM42, mapping!$A$2:$B99,2,false),)</f>
        <v/>
      </c>
      <c r="BE42" s="10" t="str">
        <f t="shared" si="8"/>
        <v/>
      </c>
      <c r="BF42" s="10" t="str">
        <f>if(ISNUMBER($C42), VLOOKUP(AO42, mapping!$A$2:$B99,2,false),)</f>
        <v/>
      </c>
      <c r="BG42" s="10" t="str">
        <f t="shared" si="9"/>
        <v/>
      </c>
      <c r="BH42" s="10" t="str">
        <f>if(ISNUMBER($C42), VLOOKUP(AQ42, mapping!$A$2:$B99,2,false),)</f>
        <v/>
      </c>
      <c r="BI42" s="10" t="str">
        <f t="shared" ref="BI42:BJ42" si="49">if(ISNUMBER($C42), IF(AR42="Not Answered","-",AR42),)</f>
        <v/>
      </c>
      <c r="BJ42" s="10" t="str">
        <f t="shared" si="49"/>
        <v/>
      </c>
    </row>
    <row r="43">
      <c r="AT43" s="5" t="str">
        <f t="shared" si="3"/>
        <v/>
      </c>
      <c r="AU43" s="5" t="str">
        <f t="shared" si="4"/>
        <v/>
      </c>
      <c r="AV43" s="5" t="str">
        <f>IFERROR(__xludf.DUMMYFUNCTION("if(ISNUMBER(A43),FILTER(N43:AF43,REGEXMATCH(N43:AF43, ""Not Answered"")=FALSE),)"),"")</f>
        <v/>
      </c>
      <c r="AW43" s="5" t="str">
        <f>if(ISNUMBER($C43), VLOOKUP(AV43, konsulenter!$A$1:$B99,2,false),)</f>
        <v/>
      </c>
      <c r="AX43" s="10" t="str">
        <f>if(ISNUMBER($C43), VLOOKUP(AG43, mapping!$A$2:$B99,2,false),)</f>
        <v/>
      </c>
      <c r="AY43" s="10" t="str">
        <f t="shared" si="5"/>
        <v/>
      </c>
      <c r="AZ43" s="10" t="str">
        <f>if(ISNUMBER($C43), VLOOKUP(AI43, mapping!$A$2:$B99,2,false),)</f>
        <v/>
      </c>
      <c r="BA43" s="10" t="str">
        <f t="shared" si="6"/>
        <v/>
      </c>
      <c r="BB43" s="10" t="str">
        <f>if(ISNUMBER($C43), VLOOKUP(AK43, mapping!$A$2:$B99,2,false),)</f>
        <v/>
      </c>
      <c r="BC43" s="10" t="str">
        <f t="shared" si="7"/>
        <v/>
      </c>
      <c r="BD43" s="10" t="str">
        <f>if(ISNUMBER($C43), VLOOKUP(AM43, mapping!$A$2:$B99,2,false),)</f>
        <v/>
      </c>
      <c r="BE43" s="10" t="str">
        <f t="shared" si="8"/>
        <v/>
      </c>
      <c r="BF43" s="10" t="str">
        <f>if(ISNUMBER($C43), VLOOKUP(AO43, mapping!$A$2:$B99,2,false),)</f>
        <v/>
      </c>
      <c r="BG43" s="10" t="str">
        <f t="shared" si="9"/>
        <v/>
      </c>
      <c r="BH43" s="10" t="str">
        <f>if(ISNUMBER($C43), VLOOKUP(AQ43, mapping!$A$2:$B99,2,false),)</f>
        <v/>
      </c>
      <c r="BI43" s="10" t="str">
        <f t="shared" ref="BI43:BJ43" si="50">if(ISNUMBER($C43), IF(AR43="Not Answered","-",AR43),)</f>
        <v/>
      </c>
      <c r="BJ43" s="10" t="str">
        <f t="shared" si="50"/>
        <v/>
      </c>
    </row>
    <row r="44">
      <c r="AT44" s="5" t="str">
        <f t="shared" si="3"/>
        <v/>
      </c>
      <c r="AU44" s="5" t="str">
        <f t="shared" si="4"/>
        <v/>
      </c>
      <c r="AV44" s="5" t="str">
        <f>IFERROR(__xludf.DUMMYFUNCTION("if(ISNUMBER(A44),FILTER(N44:AF44,REGEXMATCH(N44:AF44, ""Not Answered"")=FALSE),)"),"")</f>
        <v/>
      </c>
      <c r="AW44" s="5" t="str">
        <f>if(ISNUMBER($C44), VLOOKUP(AV44, konsulenter!$A$1:$B99,2,false),)</f>
        <v/>
      </c>
      <c r="AX44" s="10" t="str">
        <f>if(ISNUMBER($C44), VLOOKUP(AG44, mapping!$A$2:$B99,2,false),)</f>
        <v/>
      </c>
      <c r="AY44" s="10" t="str">
        <f t="shared" si="5"/>
        <v/>
      </c>
      <c r="AZ44" s="10" t="str">
        <f>if(ISNUMBER($C44), VLOOKUP(AI44, mapping!$A$2:$B99,2,false),)</f>
        <v/>
      </c>
      <c r="BA44" s="10" t="str">
        <f t="shared" si="6"/>
        <v/>
      </c>
      <c r="BB44" s="10" t="str">
        <f>if(ISNUMBER($C44), VLOOKUP(AK44, mapping!$A$2:$B99,2,false),)</f>
        <v/>
      </c>
      <c r="BC44" s="10" t="str">
        <f t="shared" si="7"/>
        <v/>
      </c>
      <c r="BD44" s="10" t="str">
        <f>if(ISNUMBER($C44), VLOOKUP(AM44, mapping!$A$2:$B99,2,false),)</f>
        <v/>
      </c>
      <c r="BE44" s="10" t="str">
        <f t="shared" si="8"/>
        <v/>
      </c>
      <c r="BF44" s="10" t="str">
        <f>if(ISNUMBER($C44), VLOOKUP(AO44, mapping!$A$2:$B99,2,false),)</f>
        <v/>
      </c>
      <c r="BG44" s="10" t="str">
        <f t="shared" si="9"/>
        <v/>
      </c>
      <c r="BH44" s="10" t="str">
        <f>if(ISNUMBER($C44), VLOOKUP(AQ44, mapping!$A$2:$B99,2,false),)</f>
        <v/>
      </c>
      <c r="BI44" s="10" t="str">
        <f t="shared" ref="BI44:BJ44" si="51">if(ISNUMBER($C44), IF(AR44="Not Answered","-",AR44),)</f>
        <v/>
      </c>
      <c r="BJ44" s="10" t="str">
        <f t="shared" si="51"/>
        <v/>
      </c>
    </row>
    <row r="45">
      <c r="AT45" s="5" t="str">
        <f t="shared" si="3"/>
        <v/>
      </c>
      <c r="AU45" s="5" t="str">
        <f t="shared" si="4"/>
        <v/>
      </c>
      <c r="AV45" s="5" t="str">
        <f>IFERROR(__xludf.DUMMYFUNCTION("if(ISNUMBER(A45),FILTER(N45:AF45,REGEXMATCH(N45:AF45, ""Not Answered"")=FALSE),)"),"")</f>
        <v/>
      </c>
      <c r="AW45" s="5" t="str">
        <f>if(ISNUMBER($C45), VLOOKUP(AV45, konsulenter!$A$1:$B99,2,false),)</f>
        <v/>
      </c>
      <c r="AX45" s="10" t="str">
        <f>if(ISNUMBER($C45), VLOOKUP(AG45, mapping!$A$2:$B99,2,false),)</f>
        <v/>
      </c>
      <c r="AY45" s="10" t="str">
        <f t="shared" si="5"/>
        <v/>
      </c>
      <c r="AZ45" s="10" t="str">
        <f>if(ISNUMBER($C45), VLOOKUP(AI45, mapping!$A$2:$B99,2,false),)</f>
        <v/>
      </c>
      <c r="BA45" s="10" t="str">
        <f t="shared" si="6"/>
        <v/>
      </c>
      <c r="BB45" s="10" t="str">
        <f>if(ISNUMBER($C45), VLOOKUP(AK45, mapping!$A$2:$B99,2,false),)</f>
        <v/>
      </c>
      <c r="BC45" s="10" t="str">
        <f t="shared" si="7"/>
        <v/>
      </c>
      <c r="BD45" s="10" t="str">
        <f>if(ISNUMBER($C45), VLOOKUP(AM45, mapping!$A$2:$B99,2,false),)</f>
        <v/>
      </c>
      <c r="BE45" s="10" t="str">
        <f t="shared" si="8"/>
        <v/>
      </c>
      <c r="BF45" s="10" t="str">
        <f>if(ISNUMBER($C45), VLOOKUP(AO45, mapping!$A$2:$B99,2,false),)</f>
        <v/>
      </c>
      <c r="BG45" s="10" t="str">
        <f t="shared" si="9"/>
        <v/>
      </c>
      <c r="BH45" s="10" t="str">
        <f>if(ISNUMBER($C45), VLOOKUP(AQ45, mapping!$A$2:$B99,2,false),)</f>
        <v/>
      </c>
      <c r="BI45" s="10" t="str">
        <f t="shared" ref="BI45:BJ45" si="52">if(ISNUMBER($C45), IF(AR45="Not Answered","-",AR45),)</f>
        <v/>
      </c>
      <c r="BJ45" s="10" t="str">
        <f t="shared" si="52"/>
        <v/>
      </c>
    </row>
    <row r="46">
      <c r="AT46" s="5" t="str">
        <f t="shared" si="3"/>
        <v/>
      </c>
      <c r="AU46" s="5" t="str">
        <f t="shared" si="4"/>
        <v/>
      </c>
      <c r="AV46" s="5" t="str">
        <f>IFERROR(__xludf.DUMMYFUNCTION("if(ISNUMBER(A46),FILTER(N46:AF46,REGEXMATCH(N46:AF46, ""Not Answered"")=FALSE),)"),"")</f>
        <v/>
      </c>
      <c r="AW46" s="5" t="str">
        <f>if(ISNUMBER($C46), VLOOKUP(AV46, konsulenter!$A$1:$B99,2,false),)</f>
        <v/>
      </c>
      <c r="AX46" s="10" t="str">
        <f>if(ISNUMBER($C46), VLOOKUP(AG46, mapping!$A$2:$B99,2,false),)</f>
        <v/>
      </c>
      <c r="AY46" s="10" t="str">
        <f t="shared" si="5"/>
        <v/>
      </c>
      <c r="AZ46" s="10" t="str">
        <f>if(ISNUMBER($C46), VLOOKUP(AI46, mapping!$A$2:$B99,2,false),)</f>
        <v/>
      </c>
      <c r="BA46" s="10" t="str">
        <f t="shared" si="6"/>
        <v/>
      </c>
      <c r="BB46" s="10" t="str">
        <f>if(ISNUMBER($C46), VLOOKUP(AK46, mapping!$A$2:$B99,2,false),)</f>
        <v/>
      </c>
      <c r="BC46" s="10" t="str">
        <f t="shared" si="7"/>
        <v/>
      </c>
      <c r="BD46" s="10" t="str">
        <f>if(ISNUMBER($C46), VLOOKUP(AM46, mapping!$A$2:$B99,2,false),)</f>
        <v/>
      </c>
      <c r="BE46" s="10" t="str">
        <f t="shared" si="8"/>
        <v/>
      </c>
      <c r="BF46" s="10" t="str">
        <f>if(ISNUMBER($C46), VLOOKUP(AO46, mapping!$A$2:$B99,2,false),)</f>
        <v/>
      </c>
      <c r="BG46" s="10" t="str">
        <f t="shared" si="9"/>
        <v/>
      </c>
      <c r="BH46" s="10" t="str">
        <f>if(ISNUMBER($C46), VLOOKUP(AQ46, mapping!$A$2:$B99,2,false),)</f>
        <v/>
      </c>
      <c r="BI46" s="10" t="str">
        <f t="shared" ref="BI46:BJ46" si="53">if(ISNUMBER($C46), IF(AR46="Not Answered","-",AR46),)</f>
        <v/>
      </c>
      <c r="BJ46" s="10" t="str">
        <f t="shared" si="53"/>
        <v/>
      </c>
    </row>
    <row r="47">
      <c r="AT47" s="5" t="str">
        <f t="shared" si="3"/>
        <v/>
      </c>
      <c r="AU47" s="5" t="str">
        <f t="shared" si="4"/>
        <v/>
      </c>
      <c r="AV47" s="5" t="str">
        <f>IFERROR(__xludf.DUMMYFUNCTION("if(ISNUMBER(A47),FILTER(N47:AF47,REGEXMATCH(N47:AF47, ""Not Answered"")=FALSE),)"),"")</f>
        <v/>
      </c>
      <c r="AW47" s="5" t="str">
        <f>if(ISNUMBER($C47), VLOOKUP(AV47, konsulenter!$A$1:$B99,2,false),)</f>
        <v/>
      </c>
      <c r="AX47" s="10" t="str">
        <f>if(ISNUMBER($C47), VLOOKUP(AG47, mapping!$A$2:$B99,2,false),)</f>
        <v/>
      </c>
      <c r="AY47" s="10" t="str">
        <f t="shared" si="5"/>
        <v/>
      </c>
      <c r="AZ47" s="10" t="str">
        <f>if(ISNUMBER($C47), VLOOKUP(AI47, mapping!$A$2:$B99,2,false),)</f>
        <v/>
      </c>
      <c r="BA47" s="10" t="str">
        <f t="shared" si="6"/>
        <v/>
      </c>
      <c r="BB47" s="10" t="str">
        <f>if(ISNUMBER($C47), VLOOKUP(AK47, mapping!$A$2:$B99,2,false),)</f>
        <v/>
      </c>
      <c r="BC47" s="10" t="str">
        <f t="shared" si="7"/>
        <v/>
      </c>
      <c r="BD47" s="10" t="str">
        <f>if(ISNUMBER($C47), VLOOKUP(AM47, mapping!$A$2:$B99,2,false),)</f>
        <v/>
      </c>
      <c r="BE47" s="10" t="str">
        <f t="shared" si="8"/>
        <v/>
      </c>
      <c r="BF47" s="10" t="str">
        <f>if(ISNUMBER($C47), VLOOKUP(AO47, mapping!$A$2:$B99,2,false),)</f>
        <v/>
      </c>
      <c r="BG47" s="10" t="str">
        <f t="shared" si="9"/>
        <v/>
      </c>
      <c r="BH47" s="10" t="str">
        <f>if(ISNUMBER($C47), VLOOKUP(AQ47, mapping!$A$2:$B99,2,false),)</f>
        <v/>
      </c>
      <c r="BI47" s="10" t="str">
        <f t="shared" ref="BI47:BJ47" si="54">if(ISNUMBER($C47), IF(AR47="Not Answered","-",AR47),)</f>
        <v/>
      </c>
      <c r="BJ47" s="10" t="str">
        <f t="shared" si="54"/>
        <v/>
      </c>
    </row>
    <row r="48">
      <c r="AT48" s="5" t="str">
        <f t="shared" si="3"/>
        <v/>
      </c>
      <c r="AU48" s="5" t="str">
        <f t="shared" si="4"/>
        <v/>
      </c>
      <c r="AV48" s="5" t="str">
        <f>IFERROR(__xludf.DUMMYFUNCTION("if(ISNUMBER(A48),FILTER(N48:AF48,REGEXMATCH(N48:AF48, ""Not Answered"")=FALSE),)"),"")</f>
        <v/>
      </c>
      <c r="AW48" s="5" t="str">
        <f>if(ISNUMBER($C48), VLOOKUP(AV48, konsulenter!$A$1:$B99,2,false),)</f>
        <v/>
      </c>
      <c r="AX48" s="10" t="str">
        <f>if(ISNUMBER($C48), VLOOKUP(AG48, mapping!$A$2:$B99,2,false),)</f>
        <v/>
      </c>
      <c r="AY48" s="10" t="str">
        <f t="shared" si="5"/>
        <v/>
      </c>
      <c r="AZ48" s="10" t="str">
        <f>if(ISNUMBER($C48), VLOOKUP(AI48, mapping!$A$2:$B99,2,false),)</f>
        <v/>
      </c>
      <c r="BA48" s="10" t="str">
        <f t="shared" si="6"/>
        <v/>
      </c>
      <c r="BB48" s="10" t="str">
        <f>if(ISNUMBER($C48), VLOOKUP(AK48, mapping!$A$2:$B99,2,false),)</f>
        <v/>
      </c>
      <c r="BC48" s="10" t="str">
        <f t="shared" si="7"/>
        <v/>
      </c>
      <c r="BD48" s="10" t="str">
        <f>if(ISNUMBER($C48), VLOOKUP(AM48, mapping!$A$2:$B99,2,false),)</f>
        <v/>
      </c>
      <c r="BE48" s="10" t="str">
        <f t="shared" si="8"/>
        <v/>
      </c>
      <c r="BF48" s="10" t="str">
        <f>if(ISNUMBER($C48), VLOOKUP(AO48, mapping!$A$2:$B99,2,false),)</f>
        <v/>
      </c>
      <c r="BG48" s="10" t="str">
        <f t="shared" si="9"/>
        <v/>
      </c>
      <c r="BH48" s="10" t="str">
        <f>if(ISNUMBER($C48), VLOOKUP(AQ48, mapping!$A$2:$B99,2,false),)</f>
        <v/>
      </c>
      <c r="BI48" s="10" t="str">
        <f t="shared" ref="BI48:BJ48" si="55">if(ISNUMBER($C48), IF(AR48="Not Answered","-",AR48),)</f>
        <v/>
      </c>
      <c r="BJ48" s="10" t="str">
        <f t="shared" si="55"/>
        <v/>
      </c>
    </row>
    <row r="49">
      <c r="AT49" s="5" t="str">
        <f t="shared" si="3"/>
        <v/>
      </c>
      <c r="AU49" s="5" t="str">
        <f t="shared" si="4"/>
        <v/>
      </c>
      <c r="AV49" s="5" t="str">
        <f>IFERROR(__xludf.DUMMYFUNCTION("if(ISNUMBER(A49),FILTER(N49:AF49,REGEXMATCH(N49:AF49, ""Not Answered"")=FALSE),)"),"")</f>
        <v/>
      </c>
      <c r="AW49" s="5" t="str">
        <f>if(ISNUMBER($C49), VLOOKUP(AV49, konsulenter!$A$1:$B99,2,false),)</f>
        <v/>
      </c>
      <c r="AX49" s="10" t="str">
        <f>if(ISNUMBER($C49), VLOOKUP(AG49, mapping!$A$2:$B99,2,false),)</f>
        <v/>
      </c>
      <c r="AY49" s="10" t="str">
        <f t="shared" si="5"/>
        <v/>
      </c>
      <c r="AZ49" s="10" t="str">
        <f>if(ISNUMBER($C49), VLOOKUP(AI49, mapping!$A$2:$B99,2,false),)</f>
        <v/>
      </c>
      <c r="BA49" s="10" t="str">
        <f t="shared" si="6"/>
        <v/>
      </c>
      <c r="BB49" s="10" t="str">
        <f>if(ISNUMBER($C49), VLOOKUP(AK49, mapping!$A$2:$B99,2,false),)</f>
        <v/>
      </c>
      <c r="BC49" s="10" t="str">
        <f t="shared" si="7"/>
        <v/>
      </c>
      <c r="BD49" s="10" t="str">
        <f>if(ISNUMBER($C49), VLOOKUP(AM49, mapping!$A$2:$B99,2,false),)</f>
        <v/>
      </c>
      <c r="BE49" s="10" t="str">
        <f t="shared" si="8"/>
        <v/>
      </c>
      <c r="BF49" s="10" t="str">
        <f>if(ISNUMBER($C49), VLOOKUP(AO49, mapping!$A$2:$B99,2,false),)</f>
        <v/>
      </c>
      <c r="BG49" s="10" t="str">
        <f t="shared" si="9"/>
        <v/>
      </c>
      <c r="BH49" s="10" t="str">
        <f>if(ISNUMBER($C49), VLOOKUP(AQ49, mapping!$A$2:$B99,2,false),)</f>
        <v/>
      </c>
      <c r="BI49" s="10" t="str">
        <f t="shared" ref="BI49:BJ49" si="56">if(ISNUMBER($C49), IF(AR49="Not Answered","-",AR49),)</f>
        <v/>
      </c>
      <c r="BJ49" s="10" t="str">
        <f t="shared" si="56"/>
        <v/>
      </c>
    </row>
    <row r="50">
      <c r="AT50" s="5" t="str">
        <f t="shared" si="3"/>
        <v/>
      </c>
      <c r="AU50" s="5" t="str">
        <f t="shared" si="4"/>
        <v/>
      </c>
      <c r="AV50" s="5" t="str">
        <f>IFERROR(__xludf.DUMMYFUNCTION("if(ISNUMBER(A50),FILTER(N50:AF50,REGEXMATCH(N50:AF50, ""Not Answered"")=FALSE),)"),"")</f>
        <v/>
      </c>
      <c r="AW50" s="5" t="str">
        <f>if(ISNUMBER($C50), VLOOKUP(AV50, konsulenter!$A$1:$B99,2,false),)</f>
        <v/>
      </c>
      <c r="AX50" s="10" t="str">
        <f>if(ISNUMBER($C50), VLOOKUP(AG50, mapping!$A$2:$B99,2,false),)</f>
        <v/>
      </c>
      <c r="AY50" s="10" t="str">
        <f t="shared" si="5"/>
        <v/>
      </c>
      <c r="AZ50" s="10" t="str">
        <f>if(ISNUMBER($C50), VLOOKUP(AI50, mapping!$A$2:$B99,2,false),)</f>
        <v/>
      </c>
      <c r="BA50" s="10" t="str">
        <f t="shared" si="6"/>
        <v/>
      </c>
      <c r="BB50" s="10" t="str">
        <f>if(ISNUMBER($C50), VLOOKUP(AK50, mapping!$A$2:$B99,2,false),)</f>
        <v/>
      </c>
      <c r="BC50" s="10" t="str">
        <f t="shared" si="7"/>
        <v/>
      </c>
      <c r="BD50" s="10" t="str">
        <f>if(ISNUMBER($C50), VLOOKUP(AM50, mapping!$A$2:$B99,2,false),)</f>
        <v/>
      </c>
      <c r="BE50" s="10" t="str">
        <f t="shared" si="8"/>
        <v/>
      </c>
      <c r="BF50" s="10" t="str">
        <f>if(ISNUMBER($C50), VLOOKUP(AO50, mapping!$A$2:$B99,2,false),)</f>
        <v/>
      </c>
      <c r="BG50" s="10" t="str">
        <f t="shared" si="9"/>
        <v/>
      </c>
      <c r="BH50" s="10" t="str">
        <f>if(ISNUMBER($C50), VLOOKUP(AQ50, mapping!$A$2:$B99,2,false),)</f>
        <v/>
      </c>
      <c r="BI50" s="10" t="str">
        <f t="shared" ref="BI50:BJ50" si="57">if(ISNUMBER($C50), IF(AR50="Not Answered","-",AR50),)</f>
        <v/>
      </c>
      <c r="BJ50" s="10" t="str">
        <f t="shared" si="57"/>
        <v/>
      </c>
    </row>
    <row r="51">
      <c r="AT51" s="5" t="str">
        <f t="shared" si="3"/>
        <v/>
      </c>
      <c r="AU51" s="5" t="str">
        <f t="shared" si="4"/>
        <v/>
      </c>
      <c r="AV51" s="5" t="str">
        <f>IFERROR(__xludf.DUMMYFUNCTION("if(ISNUMBER(A51),FILTER(N51:AF51,REGEXMATCH(N51:AF51, ""Not Answered"")=FALSE),)"),"")</f>
        <v/>
      </c>
      <c r="AW51" s="5" t="str">
        <f>if(ISNUMBER($C51), VLOOKUP(AV51, konsulenter!$A$1:$B99,2,false),)</f>
        <v/>
      </c>
      <c r="AX51" s="10" t="str">
        <f>if(ISNUMBER($C51), VLOOKUP(AG51, mapping!$A$2:$B99,2,false),)</f>
        <v/>
      </c>
      <c r="AY51" s="10" t="str">
        <f t="shared" si="5"/>
        <v/>
      </c>
      <c r="AZ51" s="10" t="str">
        <f>if(ISNUMBER($C51), VLOOKUP(AI51, mapping!$A$2:$B99,2,false),)</f>
        <v/>
      </c>
      <c r="BA51" s="10" t="str">
        <f t="shared" si="6"/>
        <v/>
      </c>
      <c r="BB51" s="10" t="str">
        <f>if(ISNUMBER($C51), VLOOKUP(AK51, mapping!$A$2:$B99,2,false),)</f>
        <v/>
      </c>
      <c r="BC51" s="10" t="str">
        <f t="shared" si="7"/>
        <v/>
      </c>
      <c r="BD51" s="10" t="str">
        <f>if(ISNUMBER($C51), VLOOKUP(AM51, mapping!$A$2:$B99,2,false),)</f>
        <v/>
      </c>
      <c r="BE51" s="10" t="str">
        <f t="shared" si="8"/>
        <v/>
      </c>
      <c r="BF51" s="10" t="str">
        <f>if(ISNUMBER($C51), VLOOKUP(AO51, mapping!$A$2:$B99,2,false),)</f>
        <v/>
      </c>
      <c r="BG51" s="10" t="str">
        <f t="shared" si="9"/>
        <v/>
      </c>
      <c r="BH51" s="10" t="str">
        <f>if(ISNUMBER($C51), VLOOKUP(AQ51, mapping!$A$2:$B99,2,false),)</f>
        <v/>
      </c>
      <c r="BI51" s="10" t="str">
        <f t="shared" ref="BI51:BJ51" si="58">if(ISNUMBER($C51), IF(AR51="Not Answered","-",AR51),)</f>
        <v/>
      </c>
      <c r="BJ51" s="10" t="str">
        <f t="shared" si="58"/>
        <v/>
      </c>
    </row>
    <row r="52">
      <c r="AT52" s="5" t="str">
        <f t="shared" si="3"/>
        <v/>
      </c>
      <c r="AU52" s="5" t="str">
        <f t="shared" si="4"/>
        <v/>
      </c>
      <c r="AV52" s="5" t="str">
        <f>IFERROR(__xludf.DUMMYFUNCTION("if(ISNUMBER(A52),FILTER(N52:AF52,REGEXMATCH(N52:AF52, ""Not Answered"")=FALSE),)"),"")</f>
        <v/>
      </c>
      <c r="AW52" s="5" t="str">
        <f>if(ISNUMBER($C52), VLOOKUP(AV52, konsulenter!$A$1:$B99,2,false),)</f>
        <v/>
      </c>
      <c r="AX52" s="10" t="str">
        <f>if(ISNUMBER($C52), VLOOKUP(AG52, mapping!$A$2:$B99,2,false),)</f>
        <v/>
      </c>
      <c r="AY52" s="10" t="str">
        <f t="shared" si="5"/>
        <v/>
      </c>
      <c r="AZ52" s="10" t="str">
        <f>if(ISNUMBER($C52), VLOOKUP(AI52, mapping!$A$2:$B99,2,false),)</f>
        <v/>
      </c>
      <c r="BA52" s="10" t="str">
        <f t="shared" si="6"/>
        <v/>
      </c>
      <c r="BB52" s="10" t="str">
        <f>if(ISNUMBER($C52), VLOOKUP(AK52, mapping!$A$2:$B99,2,false),)</f>
        <v/>
      </c>
      <c r="BC52" s="10" t="str">
        <f t="shared" si="7"/>
        <v/>
      </c>
      <c r="BD52" s="10" t="str">
        <f>if(ISNUMBER($C52), VLOOKUP(AM52, mapping!$A$2:$B99,2,false),)</f>
        <v/>
      </c>
      <c r="BE52" s="10" t="str">
        <f t="shared" si="8"/>
        <v/>
      </c>
      <c r="BF52" s="10" t="str">
        <f>if(ISNUMBER($C52), VLOOKUP(AO52, mapping!$A$2:$B99,2,false),)</f>
        <v/>
      </c>
      <c r="BG52" s="10" t="str">
        <f t="shared" si="9"/>
        <v/>
      </c>
      <c r="BH52" s="10" t="str">
        <f>if(ISNUMBER($C52), VLOOKUP(AQ52, mapping!$A$2:$B99,2,false),)</f>
        <v/>
      </c>
      <c r="BI52" s="10" t="str">
        <f t="shared" ref="BI52:BJ52" si="59">if(ISNUMBER($C52), IF(AR52="Not Answered","-",AR52),)</f>
        <v/>
      </c>
      <c r="BJ52" s="10" t="str">
        <f t="shared" si="59"/>
        <v/>
      </c>
    </row>
    <row r="53">
      <c r="AT53" s="5" t="str">
        <f t="shared" si="3"/>
        <v/>
      </c>
      <c r="AU53" s="5" t="str">
        <f t="shared" si="4"/>
        <v/>
      </c>
      <c r="AV53" s="5" t="str">
        <f>IFERROR(__xludf.DUMMYFUNCTION("if(ISNUMBER(A53),FILTER(N53:AF53,REGEXMATCH(N53:AF53, ""Not Answered"")=FALSE),)"),"")</f>
        <v/>
      </c>
      <c r="AW53" s="5" t="str">
        <f>if(ISNUMBER($C53), VLOOKUP(AV53, konsulenter!$A$1:$B99,2,false),)</f>
        <v/>
      </c>
      <c r="AX53" s="10" t="str">
        <f>if(ISNUMBER($C53), VLOOKUP(AG53, mapping!$A$2:$B99,2,false),)</f>
        <v/>
      </c>
      <c r="AY53" s="10" t="str">
        <f t="shared" si="5"/>
        <v/>
      </c>
      <c r="AZ53" s="10" t="str">
        <f>if(ISNUMBER($C53), VLOOKUP(AI53, mapping!$A$2:$B99,2,false),)</f>
        <v/>
      </c>
      <c r="BA53" s="10" t="str">
        <f t="shared" si="6"/>
        <v/>
      </c>
      <c r="BB53" s="10" t="str">
        <f>if(ISNUMBER($C53), VLOOKUP(AK53, mapping!$A$2:$B99,2,false),)</f>
        <v/>
      </c>
      <c r="BC53" s="10" t="str">
        <f t="shared" si="7"/>
        <v/>
      </c>
      <c r="BD53" s="10" t="str">
        <f>if(ISNUMBER($C53), VLOOKUP(AM53, mapping!$A$2:$B99,2,false),)</f>
        <v/>
      </c>
      <c r="BE53" s="10" t="str">
        <f t="shared" si="8"/>
        <v/>
      </c>
      <c r="BF53" s="10" t="str">
        <f>if(ISNUMBER($C53), VLOOKUP(AO53, mapping!$A$2:$B99,2,false),)</f>
        <v/>
      </c>
      <c r="BG53" s="10" t="str">
        <f t="shared" si="9"/>
        <v/>
      </c>
      <c r="BH53" s="10" t="str">
        <f>if(ISNUMBER($C53), VLOOKUP(AQ53, mapping!$A$2:$B99,2,false),)</f>
        <v/>
      </c>
      <c r="BI53" s="10" t="str">
        <f t="shared" ref="BI53:BJ53" si="60">if(ISNUMBER($C53), IF(AR53="Not Answered","-",AR53),)</f>
        <v/>
      </c>
      <c r="BJ53" s="10" t="str">
        <f t="shared" si="60"/>
        <v/>
      </c>
    </row>
    <row r="54">
      <c r="AT54" s="5" t="str">
        <f t="shared" si="3"/>
        <v/>
      </c>
      <c r="AU54" s="5" t="str">
        <f t="shared" si="4"/>
        <v/>
      </c>
      <c r="AV54" s="5" t="str">
        <f>IFERROR(__xludf.DUMMYFUNCTION("if(ISNUMBER(A54),FILTER(N54:AF54,REGEXMATCH(N54:AF54, ""Not Answered"")=FALSE),)"),"")</f>
        <v/>
      </c>
      <c r="AW54" s="5" t="str">
        <f>if(ISNUMBER($C54), VLOOKUP(AV54, konsulenter!$A$1:$B99,2,false),)</f>
        <v/>
      </c>
      <c r="AX54" s="10" t="str">
        <f>if(ISNUMBER($C54), VLOOKUP(AG54, mapping!$A$2:$B99,2,false),)</f>
        <v/>
      </c>
      <c r="AY54" s="10" t="str">
        <f t="shared" si="5"/>
        <v/>
      </c>
      <c r="AZ54" s="10" t="str">
        <f>if(ISNUMBER($C54), VLOOKUP(AI54, mapping!$A$2:$B99,2,false),)</f>
        <v/>
      </c>
      <c r="BA54" s="10" t="str">
        <f t="shared" si="6"/>
        <v/>
      </c>
      <c r="BB54" s="10" t="str">
        <f>if(ISNUMBER($C54), VLOOKUP(AK54, mapping!$A$2:$B99,2,false),)</f>
        <v/>
      </c>
      <c r="BC54" s="10" t="str">
        <f t="shared" si="7"/>
        <v/>
      </c>
      <c r="BD54" s="10" t="str">
        <f>if(ISNUMBER($C54), VLOOKUP(AM54, mapping!$A$2:$B99,2,false),)</f>
        <v/>
      </c>
      <c r="BE54" s="10" t="str">
        <f t="shared" si="8"/>
        <v/>
      </c>
      <c r="BF54" s="10" t="str">
        <f>if(ISNUMBER($C54), VLOOKUP(AO54, mapping!$A$2:$B99,2,false),)</f>
        <v/>
      </c>
      <c r="BG54" s="10" t="str">
        <f t="shared" si="9"/>
        <v/>
      </c>
      <c r="BH54" s="10" t="str">
        <f>if(ISNUMBER($C54), VLOOKUP(AQ54, mapping!$A$2:$B99,2,false),)</f>
        <v/>
      </c>
      <c r="BI54" s="10" t="str">
        <f t="shared" ref="BI54:BJ54" si="61">if(ISNUMBER($C54), IF(AR54="Not Answered","-",AR54),)</f>
        <v/>
      </c>
      <c r="BJ54" s="10" t="str">
        <f t="shared" si="61"/>
        <v/>
      </c>
    </row>
    <row r="55">
      <c r="AT55" s="5" t="str">
        <f t="shared" si="3"/>
        <v/>
      </c>
      <c r="AU55" s="5" t="str">
        <f t="shared" si="4"/>
        <v/>
      </c>
      <c r="AV55" s="5" t="str">
        <f>IFERROR(__xludf.DUMMYFUNCTION("if(ISNUMBER(A55),FILTER(N55:AF55,REGEXMATCH(N55:AF55, ""Not Answered"")=FALSE),)"),"")</f>
        <v/>
      </c>
      <c r="AW55" s="5" t="str">
        <f>if(ISNUMBER($C55), VLOOKUP(AV55, konsulenter!$A$1:$B99,2,false),)</f>
        <v/>
      </c>
      <c r="AX55" s="10" t="str">
        <f>if(ISNUMBER($C55), VLOOKUP(AG55, mapping!$A$2:$B99,2,false),)</f>
        <v/>
      </c>
      <c r="AY55" s="10" t="str">
        <f t="shared" si="5"/>
        <v/>
      </c>
      <c r="AZ55" s="10" t="str">
        <f>if(ISNUMBER($C55), VLOOKUP(AI55, mapping!$A$2:$B99,2,false),)</f>
        <v/>
      </c>
      <c r="BA55" s="10" t="str">
        <f t="shared" si="6"/>
        <v/>
      </c>
      <c r="BB55" s="10" t="str">
        <f>if(ISNUMBER($C55), VLOOKUP(AK55, mapping!$A$2:$B99,2,false),)</f>
        <v/>
      </c>
      <c r="BC55" s="10" t="str">
        <f t="shared" si="7"/>
        <v/>
      </c>
      <c r="BD55" s="10" t="str">
        <f>if(ISNUMBER($C55), VLOOKUP(AM55, mapping!$A$2:$B99,2,false),)</f>
        <v/>
      </c>
      <c r="BE55" s="10" t="str">
        <f t="shared" si="8"/>
        <v/>
      </c>
      <c r="BF55" s="10" t="str">
        <f>if(ISNUMBER($C55), VLOOKUP(AO55, mapping!$A$2:$B99,2,false),)</f>
        <v/>
      </c>
      <c r="BG55" s="10" t="str">
        <f t="shared" si="9"/>
        <v/>
      </c>
      <c r="BH55" s="10" t="str">
        <f>if(ISNUMBER($C55), VLOOKUP(AQ55, mapping!$A$2:$B99,2,false),)</f>
        <v/>
      </c>
      <c r="BI55" s="10" t="str">
        <f t="shared" ref="BI55:BJ55" si="62">if(ISNUMBER($C55), IF(AR55="Not Answered","-",AR55),)</f>
        <v/>
      </c>
      <c r="BJ55" s="10" t="str">
        <f t="shared" si="62"/>
        <v/>
      </c>
    </row>
    <row r="56">
      <c r="AT56" s="5" t="str">
        <f t="shared" si="3"/>
        <v/>
      </c>
      <c r="AU56" s="5" t="str">
        <f t="shared" si="4"/>
        <v/>
      </c>
      <c r="AV56" s="5" t="str">
        <f>IFERROR(__xludf.DUMMYFUNCTION("if(ISNUMBER(A56),FILTER(N56:AF56,REGEXMATCH(N56:AF56, ""Not Answered"")=FALSE),)"),"")</f>
        <v/>
      </c>
      <c r="AW56" s="5" t="str">
        <f>if(ISNUMBER($C56), VLOOKUP(AV56, konsulenter!$A$1:$B99,2,false),)</f>
        <v/>
      </c>
      <c r="AX56" s="10" t="str">
        <f>if(ISNUMBER($C56), VLOOKUP(AG56, mapping!$A$2:$B99,2,false),)</f>
        <v/>
      </c>
      <c r="AY56" s="10" t="str">
        <f t="shared" si="5"/>
        <v/>
      </c>
      <c r="AZ56" s="10" t="str">
        <f>if(ISNUMBER($C56), VLOOKUP(AI56, mapping!$A$2:$B99,2,false),)</f>
        <v/>
      </c>
      <c r="BA56" s="10" t="str">
        <f t="shared" si="6"/>
        <v/>
      </c>
      <c r="BB56" s="10" t="str">
        <f>if(ISNUMBER($C56), VLOOKUP(AK56, mapping!$A$2:$B99,2,false),)</f>
        <v/>
      </c>
      <c r="BC56" s="10" t="str">
        <f t="shared" si="7"/>
        <v/>
      </c>
      <c r="BD56" s="10" t="str">
        <f>if(ISNUMBER($C56), VLOOKUP(AM56, mapping!$A$2:$B99,2,false),)</f>
        <v/>
      </c>
      <c r="BE56" s="10" t="str">
        <f t="shared" si="8"/>
        <v/>
      </c>
      <c r="BF56" s="10" t="str">
        <f>if(ISNUMBER($C56), VLOOKUP(AO56, mapping!$A$2:$B99,2,false),)</f>
        <v/>
      </c>
      <c r="BG56" s="10" t="str">
        <f t="shared" si="9"/>
        <v/>
      </c>
      <c r="BH56" s="10" t="str">
        <f>if(ISNUMBER($C56), VLOOKUP(AQ56, mapping!$A$2:$B99,2,false),)</f>
        <v/>
      </c>
      <c r="BI56" s="10" t="str">
        <f t="shared" ref="BI56:BJ56" si="63">if(ISNUMBER($C56), IF(AR56="Not Answered","-",AR56),)</f>
        <v/>
      </c>
      <c r="BJ56" s="10" t="str">
        <f t="shared" si="63"/>
        <v/>
      </c>
    </row>
    <row r="57">
      <c r="AT57" s="5" t="str">
        <f t="shared" si="3"/>
        <v/>
      </c>
      <c r="AU57" s="5" t="str">
        <f t="shared" si="4"/>
        <v/>
      </c>
      <c r="AV57" s="5" t="str">
        <f>IFERROR(__xludf.DUMMYFUNCTION("if(ISNUMBER(A57),FILTER(N57:AF57,REGEXMATCH(N57:AF57, ""Not Answered"")=FALSE),)"),"")</f>
        <v/>
      </c>
      <c r="AW57" s="5" t="str">
        <f>if(ISNUMBER($C57), VLOOKUP(AV57, konsulenter!$A$1:$B99,2,false),)</f>
        <v/>
      </c>
      <c r="AX57" s="10" t="str">
        <f>if(ISNUMBER($C57), VLOOKUP(AG57, mapping!$A$2:$B99,2,false),)</f>
        <v/>
      </c>
      <c r="AY57" s="10" t="str">
        <f t="shared" si="5"/>
        <v/>
      </c>
      <c r="AZ57" s="10" t="str">
        <f>if(ISNUMBER($C57), VLOOKUP(AI57, mapping!$A$2:$B99,2,false),)</f>
        <v/>
      </c>
      <c r="BA57" s="10" t="str">
        <f t="shared" si="6"/>
        <v/>
      </c>
      <c r="BB57" s="10" t="str">
        <f>if(ISNUMBER($C57), VLOOKUP(AK57, mapping!$A$2:$B99,2,false),)</f>
        <v/>
      </c>
      <c r="BC57" s="10" t="str">
        <f t="shared" si="7"/>
        <v/>
      </c>
      <c r="BD57" s="10" t="str">
        <f>if(ISNUMBER($C57), VLOOKUP(AM57, mapping!$A$2:$B99,2,false),)</f>
        <v/>
      </c>
      <c r="BE57" s="10" t="str">
        <f t="shared" si="8"/>
        <v/>
      </c>
      <c r="BF57" s="10" t="str">
        <f>if(ISNUMBER($C57), VLOOKUP(AO57, mapping!$A$2:$B99,2,false),)</f>
        <v/>
      </c>
      <c r="BG57" s="10" t="str">
        <f t="shared" si="9"/>
        <v/>
      </c>
      <c r="BH57" s="10" t="str">
        <f>if(ISNUMBER($C57), VLOOKUP(AQ57, mapping!$A$2:$B99,2,false),)</f>
        <v/>
      </c>
      <c r="BI57" s="10" t="str">
        <f t="shared" ref="BI57:BJ57" si="64">if(ISNUMBER($C57), IF(AR57="Not Answered","-",AR57),)</f>
        <v/>
      </c>
      <c r="BJ57" s="10" t="str">
        <f t="shared" si="64"/>
        <v/>
      </c>
    </row>
    <row r="58">
      <c r="AT58" s="5" t="str">
        <f t="shared" si="3"/>
        <v/>
      </c>
      <c r="AU58" s="5" t="str">
        <f t="shared" si="4"/>
        <v/>
      </c>
      <c r="AV58" s="5" t="str">
        <f>IFERROR(__xludf.DUMMYFUNCTION("if(ISNUMBER(A58),FILTER(N58:AF58,REGEXMATCH(N58:AF58, ""Not Answered"")=FALSE),)"),"")</f>
        <v/>
      </c>
      <c r="AW58" s="5" t="str">
        <f>if(ISNUMBER($C58), VLOOKUP(AV58, konsulenter!$A$1:$B99,2,false),)</f>
        <v/>
      </c>
      <c r="AX58" s="10" t="str">
        <f>if(ISNUMBER($C58), VLOOKUP(AG58, mapping!$A$2:$B99,2,false),)</f>
        <v/>
      </c>
      <c r="AY58" s="10" t="str">
        <f t="shared" si="5"/>
        <v/>
      </c>
      <c r="AZ58" s="10" t="str">
        <f>if(ISNUMBER($C58), VLOOKUP(AI58, mapping!$A$2:$B99,2,false),)</f>
        <v/>
      </c>
      <c r="BA58" s="10" t="str">
        <f t="shared" si="6"/>
        <v/>
      </c>
      <c r="BB58" s="10" t="str">
        <f>if(ISNUMBER($C58), VLOOKUP(AK58, mapping!$A$2:$B99,2,false),)</f>
        <v/>
      </c>
      <c r="BC58" s="10" t="str">
        <f t="shared" si="7"/>
        <v/>
      </c>
      <c r="BD58" s="10" t="str">
        <f>if(ISNUMBER($C58), VLOOKUP(AM58, mapping!$A$2:$B99,2,false),)</f>
        <v/>
      </c>
      <c r="BE58" s="10" t="str">
        <f t="shared" si="8"/>
        <v/>
      </c>
      <c r="BF58" s="10" t="str">
        <f>if(ISNUMBER($C58), VLOOKUP(AO58, mapping!$A$2:$B99,2,false),)</f>
        <v/>
      </c>
      <c r="BG58" s="10" t="str">
        <f t="shared" si="9"/>
        <v/>
      </c>
      <c r="BH58" s="10" t="str">
        <f>if(ISNUMBER($C58), VLOOKUP(AQ58, mapping!$A$2:$B99,2,false),)</f>
        <v/>
      </c>
      <c r="BI58" s="10" t="str">
        <f t="shared" ref="BI58:BJ58" si="65">if(ISNUMBER($C58), IF(AR58="Not Answered","-",AR58),)</f>
        <v/>
      </c>
      <c r="BJ58" s="10" t="str">
        <f t="shared" si="65"/>
        <v/>
      </c>
    </row>
    <row r="59">
      <c r="AT59" s="5" t="str">
        <f t="shared" si="3"/>
        <v/>
      </c>
      <c r="AU59" s="5" t="str">
        <f t="shared" si="4"/>
        <v/>
      </c>
      <c r="AV59" s="5" t="str">
        <f>IFERROR(__xludf.DUMMYFUNCTION("if(ISNUMBER(A59),FILTER(N59:AF59,REGEXMATCH(N59:AF59, ""Not Answered"")=FALSE),)"),"")</f>
        <v/>
      </c>
      <c r="AW59" s="5" t="str">
        <f>if(ISNUMBER($C59), VLOOKUP(AV59, konsulenter!$A$1:$B99,2,false),)</f>
        <v/>
      </c>
      <c r="AX59" s="10" t="str">
        <f>if(ISNUMBER($C59), VLOOKUP(AG59, mapping!$A$2:$B99,2,false),)</f>
        <v/>
      </c>
      <c r="AY59" s="10" t="str">
        <f t="shared" si="5"/>
        <v/>
      </c>
      <c r="AZ59" s="10" t="str">
        <f>if(ISNUMBER($C59), VLOOKUP(AI59, mapping!$A$2:$B99,2,false),)</f>
        <v/>
      </c>
      <c r="BA59" s="10" t="str">
        <f t="shared" si="6"/>
        <v/>
      </c>
      <c r="BB59" s="10" t="str">
        <f>if(ISNUMBER($C59), VLOOKUP(AK59, mapping!$A$2:$B99,2,false),)</f>
        <v/>
      </c>
      <c r="BC59" s="10" t="str">
        <f t="shared" si="7"/>
        <v/>
      </c>
      <c r="BD59" s="10" t="str">
        <f>if(ISNUMBER($C59), VLOOKUP(AM59, mapping!$A$2:$B99,2,false),)</f>
        <v/>
      </c>
      <c r="BE59" s="10" t="str">
        <f t="shared" si="8"/>
        <v/>
      </c>
      <c r="BF59" s="10" t="str">
        <f>if(ISNUMBER($C59), VLOOKUP(AO59, mapping!$A$2:$B99,2,false),)</f>
        <v/>
      </c>
      <c r="BG59" s="10" t="str">
        <f t="shared" si="9"/>
        <v/>
      </c>
      <c r="BH59" s="10" t="str">
        <f>if(ISNUMBER($C59), VLOOKUP(AQ59, mapping!$A$2:$B99,2,false),)</f>
        <v/>
      </c>
      <c r="BI59" s="10" t="str">
        <f t="shared" ref="BI59:BJ59" si="66">if(ISNUMBER($C59), IF(AR59="Not Answered","-",AR59),)</f>
        <v/>
      </c>
      <c r="BJ59" s="10" t="str">
        <f t="shared" si="66"/>
        <v/>
      </c>
    </row>
    <row r="60">
      <c r="AT60" s="5" t="str">
        <f t="shared" si="3"/>
        <v/>
      </c>
      <c r="AU60" s="5" t="str">
        <f t="shared" si="4"/>
        <v/>
      </c>
      <c r="AV60" s="5" t="str">
        <f>IFERROR(__xludf.DUMMYFUNCTION("if(ISNUMBER(A60),FILTER(N60:AF60,REGEXMATCH(N60:AF60, ""Not Answered"")=FALSE),)"),"")</f>
        <v/>
      </c>
      <c r="AW60" s="5" t="str">
        <f>if(ISNUMBER($C60), VLOOKUP(AV60, konsulenter!$A$1:$B99,2,false),)</f>
        <v/>
      </c>
      <c r="AX60" s="10" t="str">
        <f>if(ISNUMBER($C60), VLOOKUP(AG60, mapping!$A$2:$B99,2,false),)</f>
        <v/>
      </c>
      <c r="AY60" s="10" t="str">
        <f t="shared" si="5"/>
        <v/>
      </c>
      <c r="AZ60" s="10" t="str">
        <f>if(ISNUMBER($C60), VLOOKUP(AI60, mapping!$A$2:$B99,2,false),)</f>
        <v/>
      </c>
      <c r="BA60" s="10" t="str">
        <f t="shared" si="6"/>
        <v/>
      </c>
      <c r="BB60" s="10" t="str">
        <f>if(ISNUMBER($C60), VLOOKUP(AK60, mapping!$A$2:$B99,2,false),)</f>
        <v/>
      </c>
      <c r="BC60" s="10" t="str">
        <f t="shared" si="7"/>
        <v/>
      </c>
      <c r="BD60" s="10" t="str">
        <f>if(ISNUMBER($C60), VLOOKUP(AM60, mapping!$A$2:$B99,2,false),)</f>
        <v/>
      </c>
      <c r="BE60" s="10" t="str">
        <f t="shared" si="8"/>
        <v/>
      </c>
      <c r="BF60" s="10" t="str">
        <f>if(ISNUMBER($C60), VLOOKUP(AO60, mapping!$A$2:$B99,2,false),)</f>
        <v/>
      </c>
      <c r="BG60" s="10" t="str">
        <f t="shared" si="9"/>
        <v/>
      </c>
      <c r="BH60" s="10" t="str">
        <f>if(ISNUMBER($C60), VLOOKUP(AQ60, mapping!$A$2:$B99,2,false),)</f>
        <v/>
      </c>
      <c r="BI60" s="10" t="str">
        <f t="shared" ref="BI60:BJ60" si="67">if(ISNUMBER($C60), IF(AR60="Not Answered","-",AR60),)</f>
        <v/>
      </c>
      <c r="BJ60" s="10" t="str">
        <f t="shared" si="67"/>
        <v/>
      </c>
    </row>
    <row r="61">
      <c r="AT61" s="5" t="str">
        <f t="shared" si="3"/>
        <v/>
      </c>
      <c r="AU61" s="5" t="str">
        <f t="shared" si="4"/>
        <v/>
      </c>
      <c r="AV61" s="5" t="str">
        <f>IFERROR(__xludf.DUMMYFUNCTION("if(ISNUMBER(A61),FILTER(N61:AF61,REGEXMATCH(N61:AF61, ""Not Answered"")=FALSE),)"),"")</f>
        <v/>
      </c>
      <c r="AW61" s="5" t="str">
        <f>if(ISNUMBER($C61), VLOOKUP(AV61, konsulenter!$A$1:$B99,2,false),)</f>
        <v/>
      </c>
      <c r="AX61" s="10" t="str">
        <f>if(ISNUMBER($C61), VLOOKUP(AG61, mapping!$A$2:$B99,2,false),)</f>
        <v/>
      </c>
      <c r="AY61" s="10" t="str">
        <f t="shared" si="5"/>
        <v/>
      </c>
      <c r="AZ61" s="10" t="str">
        <f>if(ISNUMBER($C61), VLOOKUP(AI61, mapping!$A$2:$B99,2,false),)</f>
        <v/>
      </c>
      <c r="BA61" s="10" t="str">
        <f t="shared" si="6"/>
        <v/>
      </c>
      <c r="BB61" s="10" t="str">
        <f>if(ISNUMBER($C61), VLOOKUP(AK61, mapping!$A$2:$B99,2,false),)</f>
        <v/>
      </c>
      <c r="BC61" s="10" t="str">
        <f t="shared" si="7"/>
        <v/>
      </c>
      <c r="BD61" s="10" t="str">
        <f>if(ISNUMBER($C61), VLOOKUP(AM61, mapping!$A$2:$B99,2,false),)</f>
        <v/>
      </c>
      <c r="BE61" s="10" t="str">
        <f t="shared" si="8"/>
        <v/>
      </c>
      <c r="BF61" s="10" t="str">
        <f>if(ISNUMBER($C61), VLOOKUP(AO61, mapping!$A$2:$B99,2,false),)</f>
        <v/>
      </c>
      <c r="BG61" s="10" t="str">
        <f t="shared" si="9"/>
        <v/>
      </c>
      <c r="BH61" s="10" t="str">
        <f>if(ISNUMBER($C61), VLOOKUP(AQ61, mapping!$A$2:$B99,2,false),)</f>
        <v/>
      </c>
      <c r="BI61" s="10" t="str">
        <f t="shared" ref="BI61:BJ61" si="68">if(ISNUMBER($C61), IF(AR61="Not Answered","-",AR61),)</f>
        <v/>
      </c>
      <c r="BJ61" s="10" t="str">
        <f t="shared" si="68"/>
        <v/>
      </c>
    </row>
    <row r="62">
      <c r="AT62" s="5" t="str">
        <f t="shared" si="3"/>
        <v/>
      </c>
      <c r="AU62" s="5" t="str">
        <f t="shared" si="4"/>
        <v/>
      </c>
      <c r="AV62" s="5" t="str">
        <f>IFERROR(__xludf.DUMMYFUNCTION("if(ISNUMBER(A62),FILTER(N62:AF62,REGEXMATCH(N62:AF62, ""Not Answered"")=FALSE),)"),"")</f>
        <v/>
      </c>
      <c r="AW62" s="5" t="str">
        <f>if(ISNUMBER($C62), VLOOKUP(AV62, konsulenter!$A$1:$B99,2,false),)</f>
        <v/>
      </c>
      <c r="AX62" s="10" t="str">
        <f>if(ISNUMBER($C62), VLOOKUP(AG62, mapping!$A$2:$B99,2,false),)</f>
        <v/>
      </c>
      <c r="AY62" s="10" t="str">
        <f t="shared" si="5"/>
        <v/>
      </c>
      <c r="AZ62" s="10" t="str">
        <f>if(ISNUMBER($C62), VLOOKUP(AI62, mapping!$A$2:$B99,2,false),)</f>
        <v/>
      </c>
      <c r="BA62" s="10" t="str">
        <f t="shared" si="6"/>
        <v/>
      </c>
      <c r="BB62" s="10" t="str">
        <f>if(ISNUMBER($C62), VLOOKUP(AK62, mapping!$A$2:$B99,2,false),)</f>
        <v/>
      </c>
      <c r="BC62" s="10" t="str">
        <f t="shared" si="7"/>
        <v/>
      </c>
      <c r="BD62" s="10" t="str">
        <f>if(ISNUMBER($C62), VLOOKUP(AM62, mapping!$A$2:$B99,2,false),)</f>
        <v/>
      </c>
      <c r="BE62" s="10" t="str">
        <f t="shared" si="8"/>
        <v/>
      </c>
      <c r="BF62" s="10" t="str">
        <f>if(ISNUMBER($C62), VLOOKUP(AO62, mapping!$A$2:$B99,2,false),)</f>
        <v/>
      </c>
      <c r="BG62" s="10" t="str">
        <f t="shared" si="9"/>
        <v/>
      </c>
      <c r="BH62" s="10" t="str">
        <f>if(ISNUMBER($C62), VLOOKUP(AQ62, mapping!$A$2:$B99,2,false),)</f>
        <v/>
      </c>
      <c r="BI62" s="10" t="str">
        <f t="shared" ref="BI62:BJ62" si="69">if(ISNUMBER($C62), IF(AR62="Not Answered","-",AR62),)</f>
        <v/>
      </c>
      <c r="BJ62" s="10" t="str">
        <f t="shared" si="69"/>
        <v/>
      </c>
    </row>
    <row r="63">
      <c r="AT63" s="5" t="str">
        <f t="shared" si="3"/>
        <v/>
      </c>
      <c r="AU63" s="5" t="str">
        <f t="shared" si="4"/>
        <v/>
      </c>
      <c r="AV63" s="5" t="str">
        <f>IFERROR(__xludf.DUMMYFUNCTION("if(ISNUMBER(A63),FILTER(N63:AF63,REGEXMATCH(N63:AF63, ""Not Answered"")=FALSE),)"),"")</f>
        <v/>
      </c>
      <c r="AW63" s="5" t="str">
        <f>if(ISNUMBER($C63), VLOOKUP(AV63, konsulenter!$A$1:$B99,2,false),)</f>
        <v/>
      </c>
      <c r="AX63" s="10" t="str">
        <f>if(ISNUMBER($C63), VLOOKUP(AG63, mapping!$A$2:$B99,2,false),)</f>
        <v/>
      </c>
      <c r="AY63" s="10" t="str">
        <f t="shared" si="5"/>
        <v/>
      </c>
      <c r="AZ63" s="10" t="str">
        <f>if(ISNUMBER($C63), VLOOKUP(AI63, mapping!$A$2:$B99,2,false),)</f>
        <v/>
      </c>
      <c r="BA63" s="10" t="str">
        <f t="shared" si="6"/>
        <v/>
      </c>
      <c r="BB63" s="10" t="str">
        <f>if(ISNUMBER($C63), VLOOKUP(AK63, mapping!$A$2:$B99,2,false),)</f>
        <v/>
      </c>
      <c r="BC63" s="10" t="str">
        <f t="shared" si="7"/>
        <v/>
      </c>
      <c r="BD63" s="10" t="str">
        <f>if(ISNUMBER($C63), VLOOKUP(AM63, mapping!$A$2:$B99,2,false),)</f>
        <v/>
      </c>
      <c r="BE63" s="10" t="str">
        <f t="shared" si="8"/>
        <v/>
      </c>
      <c r="BF63" s="10" t="str">
        <f>if(ISNUMBER($C63), VLOOKUP(AO63, mapping!$A$2:$B99,2,false),)</f>
        <v/>
      </c>
      <c r="BG63" s="10" t="str">
        <f t="shared" si="9"/>
        <v/>
      </c>
      <c r="BH63" s="10" t="str">
        <f>if(ISNUMBER($C63), VLOOKUP(AQ63, mapping!$A$2:$B99,2,false),)</f>
        <v/>
      </c>
      <c r="BI63" s="10" t="str">
        <f t="shared" ref="BI63:BJ63" si="70">if(ISNUMBER($C63), IF(AR63="Not Answered","-",AR63),)</f>
        <v/>
      </c>
      <c r="BJ63" s="10" t="str">
        <f t="shared" si="70"/>
        <v/>
      </c>
    </row>
    <row r="64">
      <c r="AT64" s="5" t="str">
        <f t="shared" si="3"/>
        <v/>
      </c>
      <c r="AU64" s="5" t="str">
        <f t="shared" si="4"/>
        <v/>
      </c>
      <c r="AV64" s="5" t="str">
        <f>IFERROR(__xludf.DUMMYFUNCTION("if(ISNUMBER(A64),FILTER(N64:AF64,REGEXMATCH(N64:AF64, ""Not Answered"")=FALSE),)"),"")</f>
        <v/>
      </c>
      <c r="AW64" s="5" t="str">
        <f>if(ISNUMBER($C64), VLOOKUP(AV64, konsulenter!$A$1:$B99,2,false),)</f>
        <v/>
      </c>
      <c r="AX64" s="10" t="str">
        <f>if(ISNUMBER($C64), VLOOKUP(AG64, mapping!$A$2:$B99,2,false),)</f>
        <v/>
      </c>
      <c r="AY64" s="10" t="str">
        <f t="shared" si="5"/>
        <v/>
      </c>
      <c r="AZ64" s="10" t="str">
        <f>if(ISNUMBER($C64), VLOOKUP(AI64, mapping!$A$2:$B99,2,false),)</f>
        <v/>
      </c>
      <c r="BA64" s="10" t="str">
        <f t="shared" si="6"/>
        <v/>
      </c>
      <c r="BB64" s="10" t="str">
        <f>if(ISNUMBER($C64), VLOOKUP(AK64, mapping!$A$2:$B99,2,false),)</f>
        <v/>
      </c>
      <c r="BC64" s="10" t="str">
        <f t="shared" si="7"/>
        <v/>
      </c>
      <c r="BD64" s="10" t="str">
        <f>if(ISNUMBER($C64), VLOOKUP(AM64, mapping!$A$2:$B99,2,false),)</f>
        <v/>
      </c>
      <c r="BE64" s="10" t="str">
        <f t="shared" si="8"/>
        <v/>
      </c>
      <c r="BF64" s="10" t="str">
        <f>if(ISNUMBER($C64), VLOOKUP(AO64, mapping!$A$2:$B99,2,false),)</f>
        <v/>
      </c>
      <c r="BG64" s="10" t="str">
        <f t="shared" si="9"/>
        <v/>
      </c>
      <c r="BH64" s="10" t="str">
        <f>if(ISNUMBER($C64), VLOOKUP(AQ64, mapping!$A$2:$B99,2,false),)</f>
        <v/>
      </c>
      <c r="BI64" s="10" t="str">
        <f t="shared" ref="BI64:BJ64" si="71">if(ISNUMBER($C64), IF(AR64="Not Answered","-",AR64),)</f>
        <v/>
      </c>
      <c r="BJ64" s="10" t="str">
        <f t="shared" si="71"/>
        <v/>
      </c>
    </row>
    <row r="65">
      <c r="AT65" s="5" t="str">
        <f t="shared" si="3"/>
        <v/>
      </c>
      <c r="AU65" s="5" t="str">
        <f t="shared" si="4"/>
        <v/>
      </c>
      <c r="AV65" s="5" t="str">
        <f>IFERROR(__xludf.DUMMYFUNCTION("if(ISNUMBER(A65),FILTER(N65:AF65,REGEXMATCH(N65:AF65, ""Not Answered"")=FALSE),)"),"")</f>
        <v/>
      </c>
      <c r="AW65" s="5" t="str">
        <f>if(ISNUMBER($C65), VLOOKUP(AV65, konsulenter!$A$1:$B99,2,false),)</f>
        <v/>
      </c>
      <c r="AX65" s="10" t="str">
        <f>if(ISNUMBER($C65), VLOOKUP(AG65, mapping!$A$2:$B99,2,false),)</f>
        <v/>
      </c>
      <c r="AY65" s="10" t="str">
        <f t="shared" si="5"/>
        <v/>
      </c>
      <c r="AZ65" s="10" t="str">
        <f>if(ISNUMBER($C65), VLOOKUP(AI65, mapping!$A$2:$B99,2,false),)</f>
        <v/>
      </c>
      <c r="BA65" s="10" t="str">
        <f t="shared" si="6"/>
        <v/>
      </c>
      <c r="BB65" s="10" t="str">
        <f>if(ISNUMBER($C65), VLOOKUP(AK65, mapping!$A$2:$B99,2,false),)</f>
        <v/>
      </c>
      <c r="BC65" s="10" t="str">
        <f t="shared" si="7"/>
        <v/>
      </c>
      <c r="BD65" s="10" t="str">
        <f>if(ISNUMBER($C65), VLOOKUP(AM65, mapping!$A$2:$B99,2,false),)</f>
        <v/>
      </c>
      <c r="BE65" s="10" t="str">
        <f t="shared" si="8"/>
        <v/>
      </c>
      <c r="BF65" s="10" t="str">
        <f>if(ISNUMBER($C65), VLOOKUP(AO65, mapping!$A$2:$B99,2,false),)</f>
        <v/>
      </c>
      <c r="BG65" s="10" t="str">
        <f t="shared" si="9"/>
        <v/>
      </c>
      <c r="BH65" s="10" t="str">
        <f>if(ISNUMBER($C65), VLOOKUP(AQ65, mapping!$A$2:$B99,2,false),)</f>
        <v/>
      </c>
      <c r="BI65" s="10" t="str">
        <f t="shared" ref="BI65:BJ65" si="72">if(ISNUMBER($C65), IF(AR65="Not Answered","-",AR65),)</f>
        <v/>
      </c>
      <c r="BJ65" s="10" t="str">
        <f t="shared" si="72"/>
        <v/>
      </c>
    </row>
    <row r="66">
      <c r="AT66" s="5" t="str">
        <f t="shared" si="3"/>
        <v/>
      </c>
      <c r="AU66" s="5" t="str">
        <f t="shared" si="4"/>
        <v/>
      </c>
      <c r="AV66" s="5" t="str">
        <f>IFERROR(__xludf.DUMMYFUNCTION("if(ISNUMBER(A66),FILTER(N66:AF66,REGEXMATCH(N66:AF66, ""Not Answered"")=FALSE),)"),"")</f>
        <v/>
      </c>
      <c r="AW66" s="5" t="str">
        <f>if(ISNUMBER($C66), VLOOKUP(AV66, konsulenter!$A$1:$B99,2,false),)</f>
        <v/>
      </c>
      <c r="AX66" s="10" t="str">
        <f>if(ISNUMBER($C66), VLOOKUP(AG66, mapping!$A$2:$B99,2,false),)</f>
        <v/>
      </c>
      <c r="AY66" s="10" t="str">
        <f t="shared" si="5"/>
        <v/>
      </c>
      <c r="AZ66" s="10" t="str">
        <f>if(ISNUMBER($C66), VLOOKUP(AI66, mapping!$A$2:$B99,2,false),)</f>
        <v/>
      </c>
      <c r="BA66" s="10" t="str">
        <f t="shared" si="6"/>
        <v/>
      </c>
      <c r="BB66" s="10" t="str">
        <f>if(ISNUMBER($C66), VLOOKUP(AK66, mapping!$A$2:$B99,2,false),)</f>
        <v/>
      </c>
      <c r="BC66" s="10" t="str">
        <f t="shared" si="7"/>
        <v/>
      </c>
      <c r="BD66" s="10" t="str">
        <f>if(ISNUMBER($C66), VLOOKUP(AM66, mapping!$A$2:$B99,2,false),)</f>
        <v/>
      </c>
      <c r="BE66" s="10" t="str">
        <f t="shared" si="8"/>
        <v/>
      </c>
      <c r="BF66" s="10" t="str">
        <f>if(ISNUMBER($C66), VLOOKUP(AO66, mapping!$A$2:$B99,2,false),)</f>
        <v/>
      </c>
      <c r="BG66" s="10" t="str">
        <f t="shared" si="9"/>
        <v/>
      </c>
      <c r="BH66" s="10" t="str">
        <f>if(ISNUMBER($C66), VLOOKUP(AQ66, mapping!$A$2:$B99,2,false),)</f>
        <v/>
      </c>
      <c r="BI66" s="10" t="str">
        <f t="shared" ref="BI66:BJ66" si="73">if(ISNUMBER($C66), IF(AR66="Not Answered","-",AR66),)</f>
        <v/>
      </c>
      <c r="BJ66" s="10" t="str">
        <f t="shared" si="73"/>
        <v/>
      </c>
    </row>
    <row r="67">
      <c r="AT67" s="5" t="str">
        <f t="shared" si="3"/>
        <v/>
      </c>
      <c r="AU67" s="5" t="str">
        <f t="shared" si="4"/>
        <v/>
      </c>
      <c r="AV67" s="5" t="str">
        <f>IFERROR(__xludf.DUMMYFUNCTION("if(ISNUMBER(A67),FILTER(N67:AF67,REGEXMATCH(N67:AF67, ""Not Answered"")=FALSE),)"),"")</f>
        <v/>
      </c>
      <c r="AW67" s="5" t="str">
        <f>if(ISNUMBER($C67), VLOOKUP(AV67, konsulenter!$A$1:$B99,2,false),)</f>
        <v/>
      </c>
      <c r="AX67" s="10" t="str">
        <f>if(ISNUMBER($C67), VLOOKUP(AG67, mapping!$A$2:$B99,2,false),)</f>
        <v/>
      </c>
      <c r="AY67" s="10" t="str">
        <f t="shared" si="5"/>
        <v/>
      </c>
      <c r="AZ67" s="10" t="str">
        <f>if(ISNUMBER($C67), VLOOKUP(AI67, mapping!$A$2:$B99,2,false),)</f>
        <v/>
      </c>
      <c r="BA67" s="10" t="str">
        <f t="shared" si="6"/>
        <v/>
      </c>
      <c r="BB67" s="10" t="str">
        <f>if(ISNUMBER($C67), VLOOKUP(AK67, mapping!$A$2:$B99,2,false),)</f>
        <v/>
      </c>
      <c r="BC67" s="10" t="str">
        <f t="shared" si="7"/>
        <v/>
      </c>
      <c r="BD67" s="10" t="str">
        <f>if(ISNUMBER($C67), VLOOKUP(AM67, mapping!$A$2:$B99,2,false),)</f>
        <v/>
      </c>
      <c r="BE67" s="10" t="str">
        <f t="shared" si="8"/>
        <v/>
      </c>
      <c r="BF67" s="10" t="str">
        <f>if(ISNUMBER($C67), VLOOKUP(AO67, mapping!$A$2:$B99,2,false),)</f>
        <v/>
      </c>
      <c r="BG67" s="10" t="str">
        <f t="shared" si="9"/>
        <v/>
      </c>
      <c r="BH67" s="10" t="str">
        <f>if(ISNUMBER($C67), VLOOKUP(AQ67, mapping!$A$2:$B99,2,false),)</f>
        <v/>
      </c>
      <c r="BI67" s="10" t="str">
        <f t="shared" ref="BI67:BJ67" si="74">if(ISNUMBER($C67), IF(AR67="Not Answered","-",AR67),)</f>
        <v/>
      </c>
      <c r="BJ67" s="10" t="str">
        <f t="shared" si="74"/>
        <v/>
      </c>
    </row>
    <row r="68">
      <c r="AT68" s="5" t="str">
        <f t="shared" si="3"/>
        <v/>
      </c>
      <c r="AU68" s="5" t="str">
        <f t="shared" si="4"/>
        <v/>
      </c>
      <c r="AV68" s="5" t="str">
        <f>IFERROR(__xludf.DUMMYFUNCTION("if(ISNUMBER(A68),FILTER(N68:AF68,REGEXMATCH(N68:AF68, ""Not Answered"")=FALSE),)"),"")</f>
        <v/>
      </c>
      <c r="AW68" s="5" t="str">
        <f>if(ISNUMBER($C68), VLOOKUP(AV68, konsulenter!$A$1:$B99,2,false),)</f>
        <v/>
      </c>
      <c r="AX68" s="10" t="str">
        <f>if(ISNUMBER($C68), VLOOKUP(AG68, mapping!$A$2:$B99,2,false),)</f>
        <v/>
      </c>
      <c r="AY68" s="10" t="str">
        <f t="shared" si="5"/>
        <v/>
      </c>
      <c r="AZ68" s="10" t="str">
        <f>if(ISNUMBER($C68), VLOOKUP(AI68, mapping!$A$2:$B99,2,false),)</f>
        <v/>
      </c>
      <c r="BA68" s="10" t="str">
        <f t="shared" si="6"/>
        <v/>
      </c>
      <c r="BB68" s="10" t="str">
        <f>if(ISNUMBER($C68), VLOOKUP(AK68, mapping!$A$2:$B99,2,false),)</f>
        <v/>
      </c>
      <c r="BC68" s="10" t="str">
        <f t="shared" si="7"/>
        <v/>
      </c>
      <c r="BD68" s="10" t="str">
        <f>if(ISNUMBER($C68), VLOOKUP(AM68, mapping!$A$2:$B99,2,false),)</f>
        <v/>
      </c>
      <c r="BE68" s="10" t="str">
        <f t="shared" si="8"/>
        <v/>
      </c>
      <c r="BF68" s="10" t="str">
        <f>if(ISNUMBER($C68), VLOOKUP(AO68, mapping!$A$2:$B99,2,false),)</f>
        <v/>
      </c>
      <c r="BG68" s="10" t="str">
        <f t="shared" si="9"/>
        <v/>
      </c>
      <c r="BH68" s="10" t="str">
        <f>if(ISNUMBER($C68), VLOOKUP(AQ68, mapping!$A$2:$B99,2,false),)</f>
        <v/>
      </c>
      <c r="BI68" s="10" t="str">
        <f t="shared" ref="BI68:BJ68" si="75">if(ISNUMBER($C68), IF(AR68="Not Answered","-",AR68),)</f>
        <v/>
      </c>
      <c r="BJ68" s="10" t="str">
        <f t="shared" si="75"/>
        <v/>
      </c>
    </row>
    <row r="69">
      <c r="AT69" s="5" t="str">
        <f t="shared" si="3"/>
        <v/>
      </c>
      <c r="AU69" s="5" t="str">
        <f t="shared" si="4"/>
        <v/>
      </c>
      <c r="AV69" s="5" t="str">
        <f>IFERROR(__xludf.DUMMYFUNCTION("if(ISNUMBER(A69),FILTER(N69:AF69,REGEXMATCH(N69:AF69, ""Not Answered"")=FALSE),)"),"")</f>
        <v/>
      </c>
      <c r="AW69" s="5" t="str">
        <f>if(ISNUMBER($C69), VLOOKUP(AV69, konsulenter!$A$1:$B99,2,false),)</f>
        <v/>
      </c>
      <c r="AX69" s="10" t="str">
        <f>if(ISNUMBER($C69), VLOOKUP(AG69, mapping!$A$2:$B99,2,false),)</f>
        <v/>
      </c>
      <c r="AY69" s="10" t="str">
        <f t="shared" si="5"/>
        <v/>
      </c>
      <c r="AZ69" s="10" t="str">
        <f>if(ISNUMBER($C69), VLOOKUP(AI69, mapping!$A$2:$B99,2,false),)</f>
        <v/>
      </c>
      <c r="BA69" s="10" t="str">
        <f t="shared" si="6"/>
        <v/>
      </c>
      <c r="BB69" s="10" t="str">
        <f>if(ISNUMBER($C69), VLOOKUP(AK69, mapping!$A$2:$B99,2,false),)</f>
        <v/>
      </c>
      <c r="BC69" s="10" t="str">
        <f t="shared" si="7"/>
        <v/>
      </c>
      <c r="BD69" s="10" t="str">
        <f>if(ISNUMBER($C69), VLOOKUP(AM69, mapping!$A$2:$B99,2,false),)</f>
        <v/>
      </c>
      <c r="BE69" s="10" t="str">
        <f t="shared" si="8"/>
        <v/>
      </c>
      <c r="BF69" s="10" t="str">
        <f>if(ISNUMBER($C69), VLOOKUP(AO69, mapping!$A$2:$B99,2,false),)</f>
        <v/>
      </c>
      <c r="BG69" s="10" t="str">
        <f t="shared" si="9"/>
        <v/>
      </c>
      <c r="BH69" s="10" t="str">
        <f>if(ISNUMBER($C69), VLOOKUP(AQ69, mapping!$A$2:$B99,2,false),)</f>
        <v/>
      </c>
      <c r="BI69" s="10" t="str">
        <f t="shared" ref="BI69:BJ69" si="76">if(ISNUMBER($C69), IF(AR69="Not Answered","-",AR69),)</f>
        <v/>
      </c>
      <c r="BJ69" s="10" t="str">
        <f t="shared" si="76"/>
        <v/>
      </c>
    </row>
    <row r="70">
      <c r="AT70" s="5" t="str">
        <f t="shared" si="3"/>
        <v/>
      </c>
      <c r="AU70" s="5" t="str">
        <f t="shared" si="4"/>
        <v/>
      </c>
      <c r="AV70" s="5" t="str">
        <f>IFERROR(__xludf.DUMMYFUNCTION("if(ISNUMBER(A70),FILTER(N70:AF70,REGEXMATCH(N70:AF70, ""Not Answered"")=FALSE),)"),"")</f>
        <v/>
      </c>
      <c r="AW70" s="5" t="str">
        <f>if(ISNUMBER($C70), VLOOKUP(AV70, konsulenter!$A$1:$B99,2,false),)</f>
        <v/>
      </c>
      <c r="AX70" s="10" t="str">
        <f>if(ISNUMBER($C70), VLOOKUP(AG70, mapping!$A$2:$B99,2,false),)</f>
        <v/>
      </c>
      <c r="AY70" s="10" t="str">
        <f t="shared" si="5"/>
        <v/>
      </c>
      <c r="AZ70" s="10" t="str">
        <f>if(ISNUMBER($C70), VLOOKUP(AI70, mapping!$A$2:$B99,2,false),)</f>
        <v/>
      </c>
      <c r="BA70" s="10" t="str">
        <f t="shared" si="6"/>
        <v/>
      </c>
      <c r="BB70" s="10" t="str">
        <f>if(ISNUMBER($C70), VLOOKUP(AK70, mapping!$A$2:$B99,2,false),)</f>
        <v/>
      </c>
      <c r="BC70" s="10" t="str">
        <f t="shared" si="7"/>
        <v/>
      </c>
      <c r="BD70" s="10" t="str">
        <f>if(ISNUMBER($C70), VLOOKUP(AM70, mapping!$A$2:$B99,2,false),)</f>
        <v/>
      </c>
      <c r="BE70" s="10" t="str">
        <f t="shared" si="8"/>
        <v/>
      </c>
      <c r="BF70" s="10" t="str">
        <f>if(ISNUMBER($C70), VLOOKUP(AO70, mapping!$A$2:$B99,2,false),)</f>
        <v/>
      </c>
      <c r="BG70" s="10" t="str">
        <f t="shared" si="9"/>
        <v/>
      </c>
      <c r="BH70" s="10" t="str">
        <f>if(ISNUMBER($C70), VLOOKUP(AQ70, mapping!$A$2:$B99,2,false),)</f>
        <v/>
      </c>
      <c r="BI70" s="10" t="str">
        <f t="shared" ref="BI70:BJ70" si="77">if(ISNUMBER($C70), IF(AR70="Not Answered","-",AR70),)</f>
        <v/>
      </c>
      <c r="BJ70" s="10" t="str">
        <f t="shared" si="77"/>
        <v/>
      </c>
    </row>
    <row r="71">
      <c r="AT71" s="5" t="str">
        <f t="shared" si="3"/>
        <v/>
      </c>
      <c r="AU71" s="5" t="str">
        <f t="shared" si="4"/>
        <v/>
      </c>
      <c r="AV71" s="5" t="str">
        <f>IFERROR(__xludf.DUMMYFUNCTION("if(ISNUMBER(A71),FILTER(N71:AF71,REGEXMATCH(N71:AF71, ""Not Answered"")=FALSE),)"),"")</f>
        <v/>
      </c>
      <c r="AW71" s="5" t="str">
        <f>if(ISNUMBER($C71), VLOOKUP(AV71, konsulenter!$A$1:$B99,2,false),)</f>
        <v/>
      </c>
      <c r="AX71" s="10" t="str">
        <f>if(ISNUMBER($C71), VLOOKUP(AG71, mapping!$A$2:$B99,2,false),)</f>
        <v/>
      </c>
      <c r="AY71" s="10" t="str">
        <f t="shared" si="5"/>
        <v/>
      </c>
      <c r="AZ71" s="10" t="str">
        <f>if(ISNUMBER($C71), VLOOKUP(AI71, mapping!$A$2:$B99,2,false),)</f>
        <v/>
      </c>
      <c r="BA71" s="10" t="str">
        <f t="shared" si="6"/>
        <v/>
      </c>
      <c r="BB71" s="10" t="str">
        <f>if(ISNUMBER($C71), VLOOKUP(AK71, mapping!$A$2:$B99,2,false),)</f>
        <v/>
      </c>
      <c r="BC71" s="10" t="str">
        <f t="shared" si="7"/>
        <v/>
      </c>
      <c r="BD71" s="10" t="str">
        <f>if(ISNUMBER($C71), VLOOKUP(AM71, mapping!$A$2:$B99,2,false),)</f>
        <v/>
      </c>
      <c r="BE71" s="10" t="str">
        <f t="shared" si="8"/>
        <v/>
      </c>
      <c r="BF71" s="10" t="str">
        <f>if(ISNUMBER($C71), VLOOKUP(AO71, mapping!$A$2:$B99,2,false),)</f>
        <v/>
      </c>
      <c r="BG71" s="10" t="str">
        <f t="shared" si="9"/>
        <v/>
      </c>
      <c r="BH71" s="10" t="str">
        <f>if(ISNUMBER($C71), VLOOKUP(AQ71, mapping!$A$2:$B99,2,false),)</f>
        <v/>
      </c>
      <c r="BI71" s="10" t="str">
        <f t="shared" ref="BI71:BJ71" si="78">if(ISNUMBER($C71), IF(AR71="Not Answered","-",AR71),)</f>
        <v/>
      </c>
      <c r="BJ71" s="10" t="str">
        <f t="shared" si="78"/>
        <v/>
      </c>
    </row>
    <row r="72">
      <c r="AT72" s="5" t="str">
        <f t="shared" si="3"/>
        <v/>
      </c>
      <c r="AU72" s="5" t="str">
        <f t="shared" si="4"/>
        <v/>
      </c>
      <c r="AV72" s="5" t="str">
        <f>IFERROR(__xludf.DUMMYFUNCTION("if(ISNUMBER(A72),FILTER(N72:AF72,REGEXMATCH(N72:AF72, ""Not Answered"")=FALSE),)"),"")</f>
        <v/>
      </c>
      <c r="AW72" s="5" t="str">
        <f>if(ISNUMBER($C72), VLOOKUP(AV72, konsulenter!$A$1:$B99,2,false),)</f>
        <v/>
      </c>
      <c r="AX72" s="10" t="str">
        <f>if(ISNUMBER($C72), VLOOKUP(AG72, mapping!$A$2:$B99,2,false),)</f>
        <v/>
      </c>
      <c r="AY72" s="10" t="str">
        <f t="shared" si="5"/>
        <v/>
      </c>
      <c r="AZ72" s="10" t="str">
        <f>if(ISNUMBER($C72), VLOOKUP(AI72, mapping!$A$2:$B99,2,false),)</f>
        <v/>
      </c>
      <c r="BA72" s="10" t="str">
        <f t="shared" si="6"/>
        <v/>
      </c>
      <c r="BB72" s="10" t="str">
        <f>if(ISNUMBER($C72), VLOOKUP(AK72, mapping!$A$2:$B99,2,false),)</f>
        <v/>
      </c>
      <c r="BC72" s="10" t="str">
        <f t="shared" si="7"/>
        <v/>
      </c>
      <c r="BD72" s="10" t="str">
        <f>if(ISNUMBER($C72), VLOOKUP(AM72, mapping!$A$2:$B99,2,false),)</f>
        <v/>
      </c>
      <c r="BE72" s="10" t="str">
        <f t="shared" si="8"/>
        <v/>
      </c>
      <c r="BF72" s="10" t="str">
        <f>if(ISNUMBER($C72), VLOOKUP(AO72, mapping!$A$2:$B99,2,false),)</f>
        <v/>
      </c>
      <c r="BG72" s="10" t="str">
        <f t="shared" si="9"/>
        <v/>
      </c>
      <c r="BH72" s="10" t="str">
        <f>if(ISNUMBER($C72), VLOOKUP(AQ72, mapping!$A$2:$B99,2,false),)</f>
        <v/>
      </c>
      <c r="BI72" s="10" t="str">
        <f t="shared" ref="BI72:BJ72" si="79">if(ISNUMBER($C72), IF(AR72="Not Answered","-",AR72),)</f>
        <v/>
      </c>
      <c r="BJ72" s="10" t="str">
        <f t="shared" si="79"/>
        <v/>
      </c>
    </row>
    <row r="73">
      <c r="AT73" s="5" t="str">
        <f t="shared" si="3"/>
        <v/>
      </c>
      <c r="AU73" s="5" t="str">
        <f t="shared" si="4"/>
        <v/>
      </c>
      <c r="AV73" s="5" t="str">
        <f>IFERROR(__xludf.DUMMYFUNCTION("if(ISNUMBER(A73),FILTER(N73:AF73,REGEXMATCH(N73:AF73, ""Not Answered"")=FALSE),)"),"")</f>
        <v/>
      </c>
      <c r="AW73" s="5" t="str">
        <f>if(ISNUMBER($C73), VLOOKUP(AV73, konsulenter!$A$1:$B99,2,false),)</f>
        <v/>
      </c>
      <c r="AX73" s="10" t="str">
        <f>if(ISNUMBER($C73), VLOOKUP(AG73, mapping!$A$2:$B99,2,false),)</f>
        <v/>
      </c>
      <c r="AY73" s="10" t="str">
        <f t="shared" si="5"/>
        <v/>
      </c>
      <c r="AZ73" s="10" t="str">
        <f>if(ISNUMBER($C73), VLOOKUP(AI73, mapping!$A$2:$B99,2,false),)</f>
        <v/>
      </c>
      <c r="BA73" s="10" t="str">
        <f t="shared" si="6"/>
        <v/>
      </c>
      <c r="BB73" s="10" t="str">
        <f>if(ISNUMBER($C73), VLOOKUP(AK73, mapping!$A$2:$B99,2,false),)</f>
        <v/>
      </c>
      <c r="BC73" s="10" t="str">
        <f t="shared" si="7"/>
        <v/>
      </c>
      <c r="BD73" s="10" t="str">
        <f>if(ISNUMBER($C73), VLOOKUP(AM73, mapping!$A$2:$B99,2,false),)</f>
        <v/>
      </c>
      <c r="BE73" s="10" t="str">
        <f t="shared" si="8"/>
        <v/>
      </c>
      <c r="BF73" s="10" t="str">
        <f>if(ISNUMBER($C73), VLOOKUP(AO73, mapping!$A$2:$B99,2,false),)</f>
        <v/>
      </c>
      <c r="BG73" s="10" t="str">
        <f t="shared" si="9"/>
        <v/>
      </c>
      <c r="BH73" s="10" t="str">
        <f>if(ISNUMBER($C73), VLOOKUP(AQ73, mapping!$A$2:$B99,2,false),)</f>
        <v/>
      </c>
      <c r="BI73" s="10" t="str">
        <f t="shared" ref="BI73:BJ73" si="80">if(ISNUMBER($C73), IF(AR73="Not Answered","-",AR73),)</f>
        <v/>
      </c>
      <c r="BJ73" s="10" t="str">
        <f t="shared" si="80"/>
        <v/>
      </c>
    </row>
    <row r="74">
      <c r="AT74" s="5" t="str">
        <f t="shared" si="3"/>
        <v/>
      </c>
      <c r="AU74" s="5" t="str">
        <f t="shared" si="4"/>
        <v/>
      </c>
      <c r="AV74" s="5" t="str">
        <f>IFERROR(__xludf.DUMMYFUNCTION("if(ISNUMBER(A74),FILTER(N74:AF74,REGEXMATCH(N74:AF74, ""Not Answered"")=FALSE),)"),"")</f>
        <v/>
      </c>
      <c r="AW74" s="5" t="str">
        <f>if(ISNUMBER($C74), VLOOKUP(AV74, konsulenter!$A$1:$B99,2,false),)</f>
        <v/>
      </c>
      <c r="AX74" s="10" t="str">
        <f>if(ISNUMBER($C74), VLOOKUP(AG74, mapping!$A$2:$B99,2,false),)</f>
        <v/>
      </c>
      <c r="AY74" s="10" t="str">
        <f t="shared" si="5"/>
        <v/>
      </c>
      <c r="AZ74" s="10" t="str">
        <f>if(ISNUMBER($C74), VLOOKUP(AI74, mapping!$A$2:$B99,2,false),)</f>
        <v/>
      </c>
      <c r="BA74" s="10" t="str">
        <f t="shared" si="6"/>
        <v/>
      </c>
      <c r="BB74" s="10" t="str">
        <f>if(ISNUMBER($C74), VLOOKUP(AK74, mapping!$A$2:$B99,2,false),)</f>
        <v/>
      </c>
      <c r="BC74" s="10" t="str">
        <f t="shared" si="7"/>
        <v/>
      </c>
      <c r="BD74" s="10" t="str">
        <f>if(ISNUMBER($C74), VLOOKUP(AM74, mapping!$A$2:$B99,2,false),)</f>
        <v/>
      </c>
      <c r="BE74" s="10" t="str">
        <f t="shared" si="8"/>
        <v/>
      </c>
      <c r="BF74" s="10" t="str">
        <f>if(ISNUMBER($C74), VLOOKUP(AO74, mapping!$A$2:$B99,2,false),)</f>
        <v/>
      </c>
      <c r="BG74" s="10" t="str">
        <f t="shared" si="9"/>
        <v/>
      </c>
      <c r="BH74" s="10" t="str">
        <f>if(ISNUMBER($C74), VLOOKUP(AQ74, mapping!$A$2:$B99,2,false),)</f>
        <v/>
      </c>
      <c r="BI74" s="10" t="str">
        <f t="shared" ref="BI74:BJ74" si="81">if(ISNUMBER($C74), IF(AR74="Not Answered","-",AR74),)</f>
        <v/>
      </c>
      <c r="BJ74" s="10" t="str">
        <f t="shared" si="81"/>
        <v/>
      </c>
    </row>
    <row r="75">
      <c r="AT75" s="5" t="str">
        <f t="shared" si="3"/>
        <v/>
      </c>
      <c r="AU75" s="5" t="str">
        <f t="shared" si="4"/>
        <v/>
      </c>
      <c r="AV75" s="5" t="str">
        <f>IFERROR(__xludf.DUMMYFUNCTION("if(ISNUMBER(A75),FILTER(N75:AF75,REGEXMATCH(N75:AF75, ""Not Answered"")=FALSE),)"),"")</f>
        <v/>
      </c>
      <c r="AW75" s="5" t="str">
        <f>if(ISNUMBER($C75), VLOOKUP(AV75, konsulenter!$A$1:$B99,2,false),)</f>
        <v/>
      </c>
      <c r="AX75" s="10" t="str">
        <f>if(ISNUMBER($C75), VLOOKUP(AG75, mapping!$A$2:$B99,2,false),)</f>
        <v/>
      </c>
      <c r="AY75" s="10" t="str">
        <f t="shared" si="5"/>
        <v/>
      </c>
      <c r="AZ75" s="10" t="str">
        <f>if(ISNUMBER($C75), VLOOKUP(AI75, mapping!$A$2:$B99,2,false),)</f>
        <v/>
      </c>
      <c r="BA75" s="10" t="str">
        <f t="shared" si="6"/>
        <v/>
      </c>
      <c r="BB75" s="10" t="str">
        <f>if(ISNUMBER($C75), VLOOKUP(AK75, mapping!$A$2:$B99,2,false),)</f>
        <v/>
      </c>
      <c r="BC75" s="10" t="str">
        <f t="shared" si="7"/>
        <v/>
      </c>
      <c r="BD75" s="10" t="str">
        <f>if(ISNUMBER($C75), VLOOKUP(AM75, mapping!$A$2:$B99,2,false),)</f>
        <v/>
      </c>
      <c r="BE75" s="10" t="str">
        <f t="shared" si="8"/>
        <v/>
      </c>
      <c r="BF75" s="10" t="str">
        <f>if(ISNUMBER($C75), VLOOKUP(AO75, mapping!$A$2:$B99,2,false),)</f>
        <v/>
      </c>
      <c r="BG75" s="10" t="str">
        <f t="shared" si="9"/>
        <v/>
      </c>
      <c r="BH75" s="10" t="str">
        <f>if(ISNUMBER($C75), VLOOKUP(AQ75, mapping!$A$2:$B99,2,false),)</f>
        <v/>
      </c>
      <c r="BI75" s="10" t="str">
        <f t="shared" ref="BI75:BJ75" si="82">if(ISNUMBER($C75), IF(AR75="Not Answered","-",AR75),)</f>
        <v/>
      </c>
      <c r="BJ75" s="10" t="str">
        <f t="shared" si="82"/>
        <v/>
      </c>
    </row>
    <row r="76">
      <c r="AT76" s="5" t="str">
        <f t="shared" si="3"/>
        <v/>
      </c>
      <c r="AU76" s="5" t="str">
        <f t="shared" si="4"/>
        <v/>
      </c>
      <c r="AV76" s="5" t="str">
        <f>IFERROR(__xludf.DUMMYFUNCTION("if(ISNUMBER(A76),FILTER(N76:AF76,REGEXMATCH(N76:AF76, ""Not Answered"")=FALSE),)"),"")</f>
        <v/>
      </c>
      <c r="AW76" s="5" t="str">
        <f>if(ISNUMBER($C76), VLOOKUP(AV76, konsulenter!$A$1:$B99,2,false),)</f>
        <v/>
      </c>
      <c r="AX76" s="10" t="str">
        <f>if(ISNUMBER($C76), VLOOKUP(AG76, mapping!$A$2:$B99,2,false),)</f>
        <v/>
      </c>
      <c r="AY76" s="10" t="str">
        <f t="shared" si="5"/>
        <v/>
      </c>
      <c r="AZ76" s="10" t="str">
        <f>if(ISNUMBER($C76), VLOOKUP(AI76, mapping!$A$2:$B99,2,false),)</f>
        <v/>
      </c>
      <c r="BA76" s="10" t="str">
        <f t="shared" si="6"/>
        <v/>
      </c>
      <c r="BB76" s="10" t="str">
        <f>if(ISNUMBER($C76), VLOOKUP(AK76, mapping!$A$2:$B99,2,false),)</f>
        <v/>
      </c>
      <c r="BC76" s="10" t="str">
        <f t="shared" si="7"/>
        <v/>
      </c>
      <c r="BD76" s="10" t="str">
        <f>if(ISNUMBER($C76), VLOOKUP(AM76, mapping!$A$2:$B99,2,false),)</f>
        <v/>
      </c>
      <c r="BE76" s="10" t="str">
        <f t="shared" si="8"/>
        <v/>
      </c>
      <c r="BF76" s="10" t="str">
        <f>if(ISNUMBER($C76), VLOOKUP(AO76, mapping!$A$2:$B99,2,false),)</f>
        <v/>
      </c>
      <c r="BG76" s="10" t="str">
        <f t="shared" si="9"/>
        <v/>
      </c>
      <c r="BH76" s="10" t="str">
        <f>if(ISNUMBER($C76), VLOOKUP(AQ76, mapping!$A$2:$B99,2,false),)</f>
        <v/>
      </c>
      <c r="BI76" s="10" t="str">
        <f t="shared" ref="BI76:BJ76" si="83">if(ISNUMBER($C76), IF(AR76="Not Answered","-",AR76),)</f>
        <v/>
      </c>
      <c r="BJ76" s="10" t="str">
        <f t="shared" si="83"/>
        <v/>
      </c>
    </row>
    <row r="77">
      <c r="AT77" s="5" t="str">
        <f t="shared" si="3"/>
        <v/>
      </c>
      <c r="AU77" s="5" t="str">
        <f t="shared" si="4"/>
        <v/>
      </c>
      <c r="AV77" s="5" t="str">
        <f>IFERROR(__xludf.DUMMYFUNCTION("if(ISNUMBER(A77),FILTER(N77:AF77,REGEXMATCH(N77:AF77, ""Not Answered"")=FALSE),)"),"")</f>
        <v/>
      </c>
      <c r="AW77" s="5" t="str">
        <f>if(ISNUMBER($C77), VLOOKUP(AV77, konsulenter!$A$1:$B99,2,false),)</f>
        <v/>
      </c>
      <c r="AX77" s="10" t="str">
        <f>if(ISNUMBER($C77), VLOOKUP(AG77, mapping!$A$2:$B99,2,false),)</f>
        <v/>
      </c>
      <c r="AY77" s="10" t="str">
        <f t="shared" si="5"/>
        <v/>
      </c>
      <c r="AZ77" s="10" t="str">
        <f>if(ISNUMBER($C77), VLOOKUP(AI77, mapping!$A$2:$B99,2,false),)</f>
        <v/>
      </c>
      <c r="BA77" s="10" t="str">
        <f t="shared" si="6"/>
        <v/>
      </c>
      <c r="BB77" s="10" t="str">
        <f>if(ISNUMBER($C77), VLOOKUP(AK77, mapping!$A$2:$B99,2,false),)</f>
        <v/>
      </c>
      <c r="BC77" s="10" t="str">
        <f t="shared" si="7"/>
        <v/>
      </c>
      <c r="BD77" s="10" t="str">
        <f>if(ISNUMBER($C77), VLOOKUP(AM77, mapping!$A$2:$B99,2,false),)</f>
        <v/>
      </c>
      <c r="BE77" s="10" t="str">
        <f t="shared" si="8"/>
        <v/>
      </c>
      <c r="BF77" s="10" t="str">
        <f>if(ISNUMBER($C77), VLOOKUP(AO77, mapping!$A$2:$B99,2,false),)</f>
        <v/>
      </c>
      <c r="BG77" s="10" t="str">
        <f t="shared" si="9"/>
        <v/>
      </c>
      <c r="BH77" s="10" t="str">
        <f>if(ISNUMBER($C77), VLOOKUP(AQ77, mapping!$A$2:$B99,2,false),)</f>
        <v/>
      </c>
      <c r="BI77" s="10" t="str">
        <f t="shared" ref="BI77:BJ77" si="84">if(ISNUMBER($C77), IF(AR77="Not Answered","-",AR77),)</f>
        <v/>
      </c>
      <c r="BJ77" s="10" t="str">
        <f t="shared" si="84"/>
        <v/>
      </c>
    </row>
    <row r="78">
      <c r="AT78" s="5" t="str">
        <f t="shared" si="3"/>
        <v/>
      </c>
      <c r="AU78" s="5" t="str">
        <f t="shared" si="4"/>
        <v/>
      </c>
      <c r="AV78" s="5" t="str">
        <f>IFERROR(__xludf.DUMMYFUNCTION("if(ISNUMBER(A78),FILTER(N78:AF78,REGEXMATCH(N78:AF78, ""Not Answered"")=FALSE),)"),"")</f>
        <v/>
      </c>
      <c r="AW78" s="5" t="str">
        <f>if(ISNUMBER($C78), VLOOKUP(AV78, konsulenter!$A$1:$B99,2,false),)</f>
        <v/>
      </c>
      <c r="AX78" s="10" t="str">
        <f>if(ISNUMBER($C78), VLOOKUP(AG78, mapping!$A$2:$B99,2,false),)</f>
        <v/>
      </c>
      <c r="AY78" s="10" t="str">
        <f t="shared" si="5"/>
        <v/>
      </c>
      <c r="AZ78" s="10" t="str">
        <f>if(ISNUMBER($C78), VLOOKUP(AI78, mapping!$A$2:$B99,2,false),)</f>
        <v/>
      </c>
      <c r="BA78" s="10" t="str">
        <f t="shared" si="6"/>
        <v/>
      </c>
      <c r="BB78" s="10" t="str">
        <f>if(ISNUMBER($C78), VLOOKUP(AK78, mapping!$A$2:$B99,2,false),)</f>
        <v/>
      </c>
      <c r="BC78" s="10" t="str">
        <f t="shared" si="7"/>
        <v/>
      </c>
      <c r="BD78" s="10" t="str">
        <f>if(ISNUMBER($C78), VLOOKUP(AM78, mapping!$A$2:$B99,2,false),)</f>
        <v/>
      </c>
      <c r="BE78" s="10" t="str">
        <f t="shared" si="8"/>
        <v/>
      </c>
      <c r="BF78" s="10" t="str">
        <f>if(ISNUMBER($C78), VLOOKUP(AO78, mapping!$A$2:$B99,2,false),)</f>
        <v/>
      </c>
      <c r="BG78" s="10" t="str">
        <f t="shared" si="9"/>
        <v/>
      </c>
      <c r="BH78" s="10" t="str">
        <f>if(ISNUMBER($C78), VLOOKUP(AQ78, mapping!$A$2:$B99,2,false),)</f>
        <v/>
      </c>
      <c r="BI78" s="10" t="str">
        <f t="shared" ref="BI78:BJ78" si="85">if(ISNUMBER($C78), IF(AR78="Not Answered","-",AR78),)</f>
        <v/>
      </c>
      <c r="BJ78" s="10" t="str">
        <f t="shared" si="85"/>
        <v/>
      </c>
    </row>
    <row r="79">
      <c r="AT79" s="5" t="str">
        <f t="shared" si="3"/>
        <v/>
      </c>
      <c r="AU79" s="5" t="str">
        <f t="shared" si="4"/>
        <v/>
      </c>
      <c r="AV79" s="5" t="str">
        <f>IFERROR(__xludf.DUMMYFUNCTION("if(ISNUMBER(A79),FILTER(N79:AF79,REGEXMATCH(N79:AF79, ""Not Answered"")=FALSE),)"),"")</f>
        <v/>
      </c>
      <c r="AW79" s="5" t="str">
        <f>if(ISNUMBER($C79), VLOOKUP(AV79, konsulenter!$A$1:$B99,2,false),)</f>
        <v/>
      </c>
      <c r="AX79" s="10" t="str">
        <f>if(ISNUMBER($C79), VLOOKUP(AG79, mapping!$A$2:$B99,2,false),)</f>
        <v/>
      </c>
      <c r="AY79" s="10" t="str">
        <f t="shared" si="5"/>
        <v/>
      </c>
      <c r="AZ79" s="10" t="str">
        <f>if(ISNUMBER($C79), VLOOKUP(AI79, mapping!$A$2:$B99,2,false),)</f>
        <v/>
      </c>
      <c r="BA79" s="10" t="str">
        <f t="shared" si="6"/>
        <v/>
      </c>
      <c r="BB79" s="10" t="str">
        <f>if(ISNUMBER($C79), VLOOKUP(AK79, mapping!$A$2:$B99,2,false),)</f>
        <v/>
      </c>
      <c r="BC79" s="10" t="str">
        <f t="shared" si="7"/>
        <v/>
      </c>
      <c r="BD79" s="10" t="str">
        <f>if(ISNUMBER($C79), VLOOKUP(AM79, mapping!$A$2:$B99,2,false),)</f>
        <v/>
      </c>
      <c r="BE79" s="10" t="str">
        <f t="shared" si="8"/>
        <v/>
      </c>
      <c r="BF79" s="10" t="str">
        <f>if(ISNUMBER($C79), VLOOKUP(AO79, mapping!$A$2:$B99,2,false),)</f>
        <v/>
      </c>
      <c r="BG79" s="10" t="str">
        <f t="shared" si="9"/>
        <v/>
      </c>
      <c r="BH79" s="10" t="str">
        <f>if(ISNUMBER($C79), VLOOKUP(AQ79, mapping!$A$2:$B99,2,false),)</f>
        <v/>
      </c>
      <c r="BI79" s="10" t="str">
        <f t="shared" ref="BI79:BJ79" si="86">if(ISNUMBER($C79), IF(AR79="Not Answered","-",AR79),)</f>
        <v/>
      </c>
      <c r="BJ79" s="10" t="str">
        <f t="shared" si="86"/>
        <v/>
      </c>
    </row>
    <row r="80">
      <c r="AT80" s="5" t="str">
        <f t="shared" si="3"/>
        <v/>
      </c>
      <c r="AU80" s="5" t="str">
        <f t="shared" si="4"/>
        <v/>
      </c>
      <c r="AV80" s="5" t="str">
        <f>IFERROR(__xludf.DUMMYFUNCTION("if(ISNUMBER(A80),FILTER(N80:AF80,REGEXMATCH(N80:AF80, ""Not Answered"")=FALSE),)"),"")</f>
        <v/>
      </c>
      <c r="AW80" s="5" t="str">
        <f>if(ISNUMBER($C80), VLOOKUP(AV80, konsulenter!$A$1:$B99,2,false),)</f>
        <v/>
      </c>
      <c r="AX80" s="10" t="str">
        <f>if(ISNUMBER($C80), VLOOKUP(AG80, mapping!$A$2:$B99,2,false),)</f>
        <v/>
      </c>
      <c r="AY80" s="10" t="str">
        <f t="shared" si="5"/>
        <v/>
      </c>
      <c r="AZ80" s="10" t="str">
        <f>if(ISNUMBER($C80), VLOOKUP(AI80, mapping!$A$2:$B99,2,false),)</f>
        <v/>
      </c>
      <c r="BA80" s="10" t="str">
        <f t="shared" si="6"/>
        <v/>
      </c>
      <c r="BB80" s="10" t="str">
        <f>if(ISNUMBER($C80), VLOOKUP(AK80, mapping!$A$2:$B99,2,false),)</f>
        <v/>
      </c>
      <c r="BC80" s="10" t="str">
        <f t="shared" si="7"/>
        <v/>
      </c>
      <c r="BD80" s="10" t="str">
        <f>if(ISNUMBER($C80), VLOOKUP(AM80, mapping!$A$2:$B99,2,false),)</f>
        <v/>
      </c>
      <c r="BE80" s="10" t="str">
        <f t="shared" si="8"/>
        <v/>
      </c>
      <c r="BF80" s="10" t="str">
        <f>if(ISNUMBER($C80), VLOOKUP(AO80, mapping!$A$2:$B99,2,false),)</f>
        <v/>
      </c>
      <c r="BG80" s="10" t="str">
        <f t="shared" si="9"/>
        <v/>
      </c>
      <c r="BH80" s="10" t="str">
        <f>if(ISNUMBER($C80), VLOOKUP(AQ80, mapping!$A$2:$B99,2,false),)</f>
        <v/>
      </c>
      <c r="BI80" s="10" t="str">
        <f t="shared" ref="BI80:BJ80" si="87">if(ISNUMBER($C80), IF(AR80="Not Answered","-",AR80),)</f>
        <v/>
      </c>
      <c r="BJ80" s="10" t="str">
        <f t="shared" si="87"/>
        <v/>
      </c>
    </row>
    <row r="81">
      <c r="AT81" s="5" t="str">
        <f t="shared" si="3"/>
        <v/>
      </c>
      <c r="AU81" s="5" t="str">
        <f t="shared" si="4"/>
        <v/>
      </c>
      <c r="AV81" s="5" t="str">
        <f>IFERROR(__xludf.DUMMYFUNCTION("if(ISNUMBER(A81),FILTER(N81:AF81,REGEXMATCH(N81:AF81, ""Not Answered"")=FALSE),)"),"")</f>
        <v/>
      </c>
      <c r="AW81" s="5" t="str">
        <f>if(ISNUMBER($C81), VLOOKUP(AV81, konsulenter!$A$1:$B99,2,false),)</f>
        <v/>
      </c>
      <c r="AX81" s="10" t="str">
        <f>if(ISNUMBER($C81), VLOOKUP(AG81, mapping!$A$2:$B99,2,false),)</f>
        <v/>
      </c>
      <c r="AY81" s="10" t="str">
        <f t="shared" si="5"/>
        <v/>
      </c>
      <c r="AZ81" s="10" t="str">
        <f>if(ISNUMBER($C81), VLOOKUP(AI81, mapping!$A$2:$B99,2,false),)</f>
        <v/>
      </c>
      <c r="BA81" s="10" t="str">
        <f t="shared" si="6"/>
        <v/>
      </c>
      <c r="BB81" s="10" t="str">
        <f>if(ISNUMBER($C81), VLOOKUP(AK81, mapping!$A$2:$B99,2,false),)</f>
        <v/>
      </c>
      <c r="BC81" s="10" t="str">
        <f t="shared" si="7"/>
        <v/>
      </c>
      <c r="BD81" s="10" t="str">
        <f>if(ISNUMBER($C81), VLOOKUP(AM81, mapping!$A$2:$B99,2,false),)</f>
        <v/>
      </c>
      <c r="BE81" s="10" t="str">
        <f t="shared" si="8"/>
        <v/>
      </c>
      <c r="BF81" s="10" t="str">
        <f>if(ISNUMBER($C81), VLOOKUP(AO81, mapping!$A$2:$B99,2,false),)</f>
        <v/>
      </c>
      <c r="BG81" s="10" t="str">
        <f t="shared" si="9"/>
        <v/>
      </c>
      <c r="BH81" s="10" t="str">
        <f>if(ISNUMBER($C81), VLOOKUP(AQ81, mapping!$A$2:$B99,2,false),)</f>
        <v/>
      </c>
      <c r="BI81" s="10" t="str">
        <f t="shared" ref="BI81:BJ81" si="88">if(ISNUMBER($C81), IF(AR81="Not Answered","-",AR81),)</f>
        <v/>
      </c>
      <c r="BJ81" s="10" t="str">
        <f t="shared" si="88"/>
        <v/>
      </c>
    </row>
    <row r="82">
      <c r="AT82" s="5" t="str">
        <f t="shared" si="3"/>
        <v/>
      </c>
      <c r="AU82" s="5" t="str">
        <f t="shared" si="4"/>
        <v/>
      </c>
      <c r="AV82" s="5" t="str">
        <f>IFERROR(__xludf.DUMMYFUNCTION("if(ISNUMBER(A82),FILTER(N82:AF82,REGEXMATCH(N82:AF82, ""Not Answered"")=FALSE),)"),"")</f>
        <v/>
      </c>
      <c r="AW82" s="5" t="str">
        <f>if(ISNUMBER($C82), VLOOKUP(AV82, konsulenter!$A$1:$B99,2,false),)</f>
        <v/>
      </c>
      <c r="AX82" s="10" t="str">
        <f>if(ISNUMBER($C82), VLOOKUP(AG82, mapping!$A$2:$B99,2,false),)</f>
        <v/>
      </c>
      <c r="AY82" s="10" t="str">
        <f t="shared" si="5"/>
        <v/>
      </c>
      <c r="AZ82" s="10" t="str">
        <f>if(ISNUMBER($C82), VLOOKUP(AI82, mapping!$A$2:$B99,2,false),)</f>
        <v/>
      </c>
      <c r="BA82" s="10" t="str">
        <f t="shared" si="6"/>
        <v/>
      </c>
      <c r="BB82" s="10" t="str">
        <f>if(ISNUMBER($C82), VLOOKUP(AK82, mapping!$A$2:$B99,2,false),)</f>
        <v/>
      </c>
      <c r="BC82" s="10" t="str">
        <f t="shared" si="7"/>
        <v/>
      </c>
      <c r="BD82" s="10" t="str">
        <f>if(ISNUMBER($C82), VLOOKUP(AM82, mapping!$A$2:$B99,2,false),)</f>
        <v/>
      </c>
      <c r="BE82" s="10" t="str">
        <f t="shared" si="8"/>
        <v/>
      </c>
      <c r="BF82" s="10" t="str">
        <f>if(ISNUMBER($C82), VLOOKUP(AO82, mapping!$A$2:$B99,2,false),)</f>
        <v/>
      </c>
      <c r="BG82" s="10" t="str">
        <f t="shared" si="9"/>
        <v/>
      </c>
      <c r="BH82" s="10" t="str">
        <f>if(ISNUMBER($C82), VLOOKUP(AQ82, mapping!$A$2:$B99,2,false),)</f>
        <v/>
      </c>
      <c r="BI82" s="10" t="str">
        <f t="shared" ref="BI82:BJ82" si="89">if(ISNUMBER($C82), IF(AR82="Not Answered","-",AR82),)</f>
        <v/>
      </c>
      <c r="BJ82" s="10" t="str">
        <f t="shared" si="89"/>
        <v/>
      </c>
    </row>
    <row r="83">
      <c r="AT83" s="5" t="str">
        <f t="shared" si="3"/>
        <v/>
      </c>
      <c r="AU83" s="5" t="str">
        <f t="shared" si="4"/>
        <v/>
      </c>
      <c r="AV83" s="5" t="str">
        <f>IFERROR(__xludf.DUMMYFUNCTION("if(ISNUMBER(A83),FILTER(N83:AF83,REGEXMATCH(N83:AF83, ""Not Answered"")=FALSE),)"),"")</f>
        <v/>
      </c>
      <c r="AW83" s="5" t="str">
        <f>if(ISNUMBER($C83), VLOOKUP(AV83, konsulenter!$A$1:$B99,2,false),)</f>
        <v/>
      </c>
      <c r="AX83" s="10" t="str">
        <f>if(ISNUMBER($C83), VLOOKUP(AG83, mapping!$A$2:$B99,2,false),)</f>
        <v/>
      </c>
      <c r="AY83" s="10" t="str">
        <f t="shared" si="5"/>
        <v/>
      </c>
      <c r="AZ83" s="10" t="str">
        <f>if(ISNUMBER($C83), VLOOKUP(AI83, mapping!$A$2:$B99,2,false),)</f>
        <v/>
      </c>
      <c r="BA83" s="10" t="str">
        <f t="shared" si="6"/>
        <v/>
      </c>
      <c r="BB83" s="10" t="str">
        <f>if(ISNUMBER($C83), VLOOKUP(AK83, mapping!$A$2:$B99,2,false),)</f>
        <v/>
      </c>
      <c r="BC83" s="10" t="str">
        <f t="shared" si="7"/>
        <v/>
      </c>
      <c r="BD83" s="10" t="str">
        <f>if(ISNUMBER($C83), VLOOKUP(AM83, mapping!$A$2:$B99,2,false),)</f>
        <v/>
      </c>
      <c r="BE83" s="10" t="str">
        <f t="shared" si="8"/>
        <v/>
      </c>
      <c r="BF83" s="10" t="str">
        <f>if(ISNUMBER($C83), VLOOKUP(AO83, mapping!$A$2:$B99,2,false),)</f>
        <v/>
      </c>
      <c r="BG83" s="10" t="str">
        <f t="shared" si="9"/>
        <v/>
      </c>
      <c r="BH83" s="10" t="str">
        <f>if(ISNUMBER($C83), VLOOKUP(AQ83, mapping!$A$2:$B99,2,false),)</f>
        <v/>
      </c>
      <c r="BI83" s="10" t="str">
        <f t="shared" ref="BI83:BJ83" si="90">if(ISNUMBER($C83), IF(AR83="Not Answered","-",AR83),)</f>
        <v/>
      </c>
      <c r="BJ83" s="10" t="str">
        <f t="shared" si="90"/>
        <v/>
      </c>
    </row>
    <row r="84">
      <c r="AT84" s="5" t="str">
        <f t="shared" si="3"/>
        <v/>
      </c>
      <c r="AU84" s="5" t="str">
        <f t="shared" si="4"/>
        <v/>
      </c>
      <c r="AV84" s="5" t="str">
        <f>IFERROR(__xludf.DUMMYFUNCTION("if(ISNUMBER(A84),FILTER(N84:AF84,REGEXMATCH(N84:AF84, ""Not Answered"")=FALSE),)"),"")</f>
        <v/>
      </c>
      <c r="AW84" s="5" t="str">
        <f>if(ISNUMBER($C84), VLOOKUP(AV84, konsulenter!$A$1:$B99,2,false),)</f>
        <v/>
      </c>
      <c r="AX84" s="10" t="str">
        <f>if(ISNUMBER($C84), VLOOKUP(AG84, mapping!$A$2:$B99,2,false),)</f>
        <v/>
      </c>
      <c r="AY84" s="10" t="str">
        <f t="shared" si="5"/>
        <v/>
      </c>
      <c r="AZ84" s="10" t="str">
        <f>if(ISNUMBER($C84), VLOOKUP(AI84, mapping!$A$2:$B99,2,false),)</f>
        <v/>
      </c>
      <c r="BA84" s="10" t="str">
        <f t="shared" si="6"/>
        <v/>
      </c>
      <c r="BB84" s="10" t="str">
        <f>if(ISNUMBER($C84), VLOOKUP(AK84, mapping!$A$2:$B99,2,false),)</f>
        <v/>
      </c>
      <c r="BC84" s="10" t="str">
        <f t="shared" si="7"/>
        <v/>
      </c>
      <c r="BD84" s="10" t="str">
        <f>if(ISNUMBER($C84), VLOOKUP(AM84, mapping!$A$2:$B99,2,false),)</f>
        <v/>
      </c>
      <c r="BE84" s="10" t="str">
        <f t="shared" si="8"/>
        <v/>
      </c>
      <c r="BF84" s="10" t="str">
        <f>if(ISNUMBER($C84), VLOOKUP(AO84, mapping!$A$2:$B99,2,false),)</f>
        <v/>
      </c>
      <c r="BG84" s="10" t="str">
        <f t="shared" si="9"/>
        <v/>
      </c>
      <c r="BH84" s="10" t="str">
        <f>if(ISNUMBER($C84), VLOOKUP(AQ84, mapping!$A$2:$B99,2,false),)</f>
        <v/>
      </c>
      <c r="BI84" s="10" t="str">
        <f t="shared" ref="BI84:BJ84" si="91">if(ISNUMBER($C84), IF(AR84="Not Answered","-",AR84),)</f>
        <v/>
      </c>
      <c r="BJ84" s="10" t="str">
        <f t="shared" si="91"/>
        <v/>
      </c>
    </row>
    <row r="85">
      <c r="AT85" s="5" t="str">
        <f t="shared" si="3"/>
        <v/>
      </c>
      <c r="AU85" s="5" t="str">
        <f t="shared" si="4"/>
        <v/>
      </c>
      <c r="AV85" s="5" t="str">
        <f>IFERROR(__xludf.DUMMYFUNCTION("if(ISNUMBER(A85),FILTER(N85:AF85,REGEXMATCH(N85:AF85, ""Not Answered"")=FALSE),)"),"")</f>
        <v/>
      </c>
      <c r="AW85" s="5" t="str">
        <f>if(ISNUMBER($C85), VLOOKUP(AV85, konsulenter!$A$1:$B99,2,false),)</f>
        <v/>
      </c>
      <c r="AX85" s="10" t="str">
        <f>if(ISNUMBER($C85), VLOOKUP(AG85, mapping!$A$2:$B99,2,false),)</f>
        <v/>
      </c>
      <c r="AY85" s="10" t="str">
        <f t="shared" si="5"/>
        <v/>
      </c>
      <c r="AZ85" s="10" t="str">
        <f>if(ISNUMBER($C85), VLOOKUP(AI85, mapping!$A$2:$B99,2,false),)</f>
        <v/>
      </c>
      <c r="BA85" s="10" t="str">
        <f t="shared" si="6"/>
        <v/>
      </c>
      <c r="BB85" s="10" t="str">
        <f>if(ISNUMBER($C85), VLOOKUP(AK85, mapping!$A$2:$B99,2,false),)</f>
        <v/>
      </c>
      <c r="BC85" s="10" t="str">
        <f t="shared" si="7"/>
        <v/>
      </c>
      <c r="BD85" s="10" t="str">
        <f>if(ISNUMBER($C85), VLOOKUP(AM85, mapping!$A$2:$B99,2,false),)</f>
        <v/>
      </c>
      <c r="BE85" s="10" t="str">
        <f t="shared" si="8"/>
        <v/>
      </c>
      <c r="BF85" s="10" t="str">
        <f>if(ISNUMBER($C85), VLOOKUP(AO85, mapping!$A$2:$B99,2,false),)</f>
        <v/>
      </c>
      <c r="BG85" s="10" t="str">
        <f t="shared" si="9"/>
        <v/>
      </c>
      <c r="BH85" s="10" t="str">
        <f>if(ISNUMBER($C85), VLOOKUP(AQ85, mapping!$A$2:$B99,2,false),)</f>
        <v/>
      </c>
      <c r="BI85" s="10" t="str">
        <f t="shared" ref="BI85:BJ85" si="92">if(ISNUMBER($C85), IF(AR85="Not Answered","-",AR85),)</f>
        <v/>
      </c>
      <c r="BJ85" s="10" t="str">
        <f t="shared" si="92"/>
        <v/>
      </c>
    </row>
    <row r="86">
      <c r="AT86" s="5" t="str">
        <f t="shared" si="3"/>
        <v/>
      </c>
      <c r="AU86" s="5" t="str">
        <f t="shared" si="4"/>
        <v/>
      </c>
      <c r="AV86" s="5" t="str">
        <f>IFERROR(__xludf.DUMMYFUNCTION("if(ISNUMBER(A86),FILTER(N86:AF86,REGEXMATCH(N86:AF86, ""Not Answered"")=FALSE),)"),"")</f>
        <v/>
      </c>
      <c r="AW86" s="5" t="str">
        <f>if(ISNUMBER($C86), VLOOKUP(AV86, konsulenter!$A$1:$B99,2,false),)</f>
        <v/>
      </c>
      <c r="AX86" s="10" t="str">
        <f>if(ISNUMBER($C86), VLOOKUP(AG86, mapping!$A$2:$B99,2,false),)</f>
        <v/>
      </c>
      <c r="AY86" s="10" t="str">
        <f t="shared" si="5"/>
        <v/>
      </c>
      <c r="AZ86" s="10" t="str">
        <f>if(ISNUMBER($C86), VLOOKUP(AI86, mapping!$A$2:$B99,2,false),)</f>
        <v/>
      </c>
      <c r="BA86" s="10" t="str">
        <f t="shared" si="6"/>
        <v/>
      </c>
      <c r="BB86" s="10" t="str">
        <f>if(ISNUMBER($C86), VLOOKUP(AK86, mapping!$A$2:$B99,2,false),)</f>
        <v/>
      </c>
      <c r="BC86" s="10" t="str">
        <f t="shared" si="7"/>
        <v/>
      </c>
      <c r="BD86" s="10" t="str">
        <f>if(ISNUMBER($C86), VLOOKUP(AM86, mapping!$A$2:$B99,2,false),)</f>
        <v/>
      </c>
      <c r="BE86" s="10" t="str">
        <f t="shared" si="8"/>
        <v/>
      </c>
      <c r="BF86" s="10" t="str">
        <f>if(ISNUMBER($C86), VLOOKUP(AO86, mapping!$A$2:$B99,2,false),)</f>
        <v/>
      </c>
      <c r="BG86" s="10" t="str">
        <f t="shared" si="9"/>
        <v/>
      </c>
      <c r="BH86" s="10" t="str">
        <f>if(ISNUMBER($C86), VLOOKUP(AQ86, mapping!$A$2:$B99,2,false),)</f>
        <v/>
      </c>
      <c r="BI86" s="10" t="str">
        <f t="shared" ref="BI86:BJ86" si="93">if(ISNUMBER($C86), IF(AR86="Not Answered","-",AR86),)</f>
        <v/>
      </c>
      <c r="BJ86" s="10" t="str">
        <f t="shared" si="93"/>
        <v/>
      </c>
    </row>
    <row r="87">
      <c r="AT87" s="5" t="str">
        <f t="shared" si="3"/>
        <v/>
      </c>
      <c r="AU87" s="5" t="str">
        <f t="shared" si="4"/>
        <v/>
      </c>
      <c r="AV87" s="5" t="str">
        <f>IFERROR(__xludf.DUMMYFUNCTION("if(ISNUMBER(A87),FILTER(N87:AF87,REGEXMATCH(N87:AF87, ""Not Answered"")=FALSE),)"),"")</f>
        <v/>
      </c>
      <c r="AW87" s="5" t="str">
        <f>if(ISNUMBER($C87), VLOOKUP(AV87, konsulenter!$A$1:$B99,2,false),)</f>
        <v/>
      </c>
      <c r="AX87" s="10" t="str">
        <f>if(ISNUMBER($C87), VLOOKUP(AG87, mapping!$A$2:$B99,2,false),)</f>
        <v/>
      </c>
      <c r="AY87" s="10" t="str">
        <f t="shared" si="5"/>
        <v/>
      </c>
      <c r="AZ87" s="10" t="str">
        <f>if(ISNUMBER($C87), VLOOKUP(AI87, mapping!$A$2:$B99,2,false),)</f>
        <v/>
      </c>
      <c r="BA87" s="10" t="str">
        <f t="shared" si="6"/>
        <v/>
      </c>
      <c r="BB87" s="10" t="str">
        <f>if(ISNUMBER($C87), VLOOKUP(AK87, mapping!$A$2:$B99,2,false),)</f>
        <v/>
      </c>
      <c r="BC87" s="10" t="str">
        <f t="shared" si="7"/>
        <v/>
      </c>
      <c r="BD87" s="10" t="str">
        <f>if(ISNUMBER($C87), VLOOKUP(AM87, mapping!$A$2:$B99,2,false),)</f>
        <v/>
      </c>
      <c r="BE87" s="10" t="str">
        <f t="shared" si="8"/>
        <v/>
      </c>
      <c r="BF87" s="10" t="str">
        <f>if(ISNUMBER($C87), VLOOKUP(AO87, mapping!$A$2:$B99,2,false),)</f>
        <v/>
      </c>
      <c r="BG87" s="10" t="str">
        <f t="shared" si="9"/>
        <v/>
      </c>
      <c r="BH87" s="10" t="str">
        <f>if(ISNUMBER($C87), VLOOKUP(AQ87, mapping!$A$2:$B99,2,false),)</f>
        <v/>
      </c>
      <c r="BI87" s="10" t="str">
        <f t="shared" ref="BI87:BJ87" si="94">if(ISNUMBER($C87), IF(AR87="Not Answered","-",AR87),)</f>
        <v/>
      </c>
      <c r="BJ87" s="10" t="str">
        <f t="shared" si="94"/>
        <v/>
      </c>
    </row>
    <row r="88">
      <c r="AT88" s="5" t="str">
        <f t="shared" si="3"/>
        <v/>
      </c>
      <c r="AU88" s="5" t="str">
        <f t="shared" si="4"/>
        <v/>
      </c>
      <c r="AV88" s="5" t="str">
        <f>IFERROR(__xludf.DUMMYFUNCTION("if(ISNUMBER(A88),FILTER(N88:AF88,REGEXMATCH(N88:AF88, ""Not Answered"")=FALSE),)"),"")</f>
        <v/>
      </c>
      <c r="AW88" s="5" t="str">
        <f>if(ISNUMBER($C88), VLOOKUP(AV88, konsulenter!$A$1:$B99,2,false),)</f>
        <v/>
      </c>
      <c r="AX88" s="10" t="str">
        <f>if(ISNUMBER($C88), VLOOKUP(AG88, mapping!$A$2:$B99,2,false),)</f>
        <v/>
      </c>
      <c r="AY88" s="10" t="str">
        <f t="shared" si="5"/>
        <v/>
      </c>
      <c r="AZ88" s="10" t="str">
        <f>if(ISNUMBER($C88), VLOOKUP(AI88, mapping!$A$2:$B99,2,false),)</f>
        <v/>
      </c>
      <c r="BA88" s="10" t="str">
        <f t="shared" si="6"/>
        <v/>
      </c>
      <c r="BB88" s="10" t="str">
        <f>if(ISNUMBER($C88), VLOOKUP(AK88, mapping!$A$2:$B99,2,false),)</f>
        <v/>
      </c>
      <c r="BC88" s="10" t="str">
        <f t="shared" si="7"/>
        <v/>
      </c>
      <c r="BD88" s="10" t="str">
        <f>if(ISNUMBER($C88), VLOOKUP(AM88, mapping!$A$2:$B99,2,false),)</f>
        <v/>
      </c>
      <c r="BE88" s="10" t="str">
        <f t="shared" si="8"/>
        <v/>
      </c>
      <c r="BF88" s="10" t="str">
        <f>if(ISNUMBER($C88), VLOOKUP(AO88, mapping!$A$2:$B99,2,false),)</f>
        <v/>
      </c>
      <c r="BG88" s="10" t="str">
        <f t="shared" si="9"/>
        <v/>
      </c>
      <c r="BH88" s="10" t="str">
        <f>if(ISNUMBER($C88), VLOOKUP(AQ88, mapping!$A$2:$B99,2,false),)</f>
        <v/>
      </c>
      <c r="BI88" s="10" t="str">
        <f t="shared" ref="BI88:BJ88" si="95">if(ISNUMBER($C88), IF(AR88="Not Answered","-",AR88),)</f>
        <v/>
      </c>
      <c r="BJ88" s="10" t="str">
        <f t="shared" si="95"/>
        <v/>
      </c>
    </row>
    <row r="89">
      <c r="AT89" s="5" t="str">
        <f t="shared" si="3"/>
        <v/>
      </c>
      <c r="AU89" s="5" t="str">
        <f t="shared" si="4"/>
        <v/>
      </c>
      <c r="AV89" s="5" t="str">
        <f>IFERROR(__xludf.DUMMYFUNCTION("if(ISNUMBER(A89),FILTER(N89:AF89,REGEXMATCH(N89:AF89, ""Not Answered"")=FALSE),)"),"")</f>
        <v/>
      </c>
      <c r="AW89" s="5" t="str">
        <f>if(ISNUMBER($C89), VLOOKUP(AV89, konsulenter!$A$1:$B99,2,false),)</f>
        <v/>
      </c>
      <c r="AX89" s="10" t="str">
        <f>if(ISNUMBER($C89), VLOOKUP(AG89, mapping!$A$2:$B99,2,false),)</f>
        <v/>
      </c>
      <c r="AY89" s="10" t="str">
        <f t="shared" si="5"/>
        <v/>
      </c>
      <c r="AZ89" s="10" t="str">
        <f>if(ISNUMBER($C89), VLOOKUP(AI89, mapping!$A$2:$B99,2,false),)</f>
        <v/>
      </c>
      <c r="BA89" s="10" t="str">
        <f t="shared" si="6"/>
        <v/>
      </c>
      <c r="BB89" s="10" t="str">
        <f>if(ISNUMBER($C89), VLOOKUP(AK89, mapping!$A$2:$B99,2,false),)</f>
        <v/>
      </c>
      <c r="BC89" s="10" t="str">
        <f t="shared" si="7"/>
        <v/>
      </c>
      <c r="BD89" s="10" t="str">
        <f>if(ISNUMBER($C89), VLOOKUP(AM89, mapping!$A$2:$B99,2,false),)</f>
        <v/>
      </c>
      <c r="BE89" s="10" t="str">
        <f t="shared" si="8"/>
        <v/>
      </c>
      <c r="BF89" s="10" t="str">
        <f>if(ISNUMBER($C89), VLOOKUP(AO89, mapping!$A$2:$B99,2,false),)</f>
        <v/>
      </c>
      <c r="BG89" s="10" t="str">
        <f t="shared" si="9"/>
        <v/>
      </c>
      <c r="BH89" s="10" t="str">
        <f>if(ISNUMBER($C89), VLOOKUP(AQ89, mapping!$A$2:$B99,2,false),)</f>
        <v/>
      </c>
      <c r="BI89" s="10" t="str">
        <f t="shared" ref="BI89:BJ89" si="96">if(ISNUMBER($C89), IF(AR89="Not Answered","-",AR89),)</f>
        <v/>
      </c>
      <c r="BJ89" s="10" t="str">
        <f t="shared" si="96"/>
        <v/>
      </c>
    </row>
    <row r="90">
      <c r="AT90" s="5" t="str">
        <f t="shared" si="3"/>
        <v/>
      </c>
      <c r="AU90" s="5" t="str">
        <f t="shared" si="4"/>
        <v/>
      </c>
      <c r="AV90" s="5" t="str">
        <f>IFERROR(__xludf.DUMMYFUNCTION("if(ISNUMBER(A90),FILTER(N90:AF90,REGEXMATCH(N90:AF90, ""Not Answered"")=FALSE),)"),"")</f>
        <v/>
      </c>
      <c r="AW90" s="5" t="str">
        <f>if(ISNUMBER($C90), VLOOKUP(AV90, konsulenter!$A$1:$B99,2,false),)</f>
        <v/>
      </c>
      <c r="AX90" s="10" t="str">
        <f>if(ISNUMBER($C90), VLOOKUP(AG90, mapping!$A$2:$B99,2,false),)</f>
        <v/>
      </c>
      <c r="AY90" s="10" t="str">
        <f t="shared" si="5"/>
        <v/>
      </c>
      <c r="AZ90" s="10" t="str">
        <f>if(ISNUMBER($C90), VLOOKUP(AI90, mapping!$A$2:$B99,2,false),)</f>
        <v/>
      </c>
      <c r="BA90" s="10" t="str">
        <f t="shared" si="6"/>
        <v/>
      </c>
      <c r="BB90" s="10" t="str">
        <f>if(ISNUMBER($C90), VLOOKUP(AK90, mapping!$A$2:$B99,2,false),)</f>
        <v/>
      </c>
      <c r="BC90" s="10" t="str">
        <f t="shared" si="7"/>
        <v/>
      </c>
      <c r="BD90" s="10" t="str">
        <f>if(ISNUMBER($C90), VLOOKUP(AM90, mapping!$A$2:$B99,2,false),)</f>
        <v/>
      </c>
      <c r="BE90" s="10" t="str">
        <f t="shared" si="8"/>
        <v/>
      </c>
      <c r="BF90" s="10" t="str">
        <f>if(ISNUMBER($C90), VLOOKUP(AO90, mapping!$A$2:$B99,2,false),)</f>
        <v/>
      </c>
      <c r="BG90" s="10" t="str">
        <f t="shared" si="9"/>
        <v/>
      </c>
      <c r="BH90" s="10" t="str">
        <f>if(ISNUMBER($C90), VLOOKUP(AQ90, mapping!$A$2:$B99,2,false),)</f>
        <v/>
      </c>
      <c r="BI90" s="10" t="str">
        <f t="shared" ref="BI90:BJ90" si="97">if(ISNUMBER($C90), IF(AR90="Not Answered","-",AR90),)</f>
        <v/>
      </c>
      <c r="BJ90" s="10" t="str">
        <f t="shared" si="97"/>
        <v/>
      </c>
    </row>
    <row r="91">
      <c r="AT91" s="5" t="str">
        <f t="shared" si="3"/>
        <v/>
      </c>
      <c r="AU91" s="5" t="str">
        <f t="shared" si="4"/>
        <v/>
      </c>
      <c r="AV91" s="5" t="str">
        <f>IFERROR(__xludf.DUMMYFUNCTION("if(ISNUMBER(A91),FILTER(N91:AF91,REGEXMATCH(N91:AF91, ""Not Answered"")=FALSE),)"),"")</f>
        <v/>
      </c>
      <c r="AW91" s="5" t="str">
        <f>if(ISNUMBER($C91), VLOOKUP(AV91, konsulenter!$A$1:$B99,2,false),)</f>
        <v/>
      </c>
      <c r="AX91" s="10" t="str">
        <f>if(ISNUMBER($C91), VLOOKUP(AG91, mapping!$A$2:$B99,2,false),)</f>
        <v/>
      </c>
      <c r="AY91" s="10" t="str">
        <f t="shared" si="5"/>
        <v/>
      </c>
      <c r="AZ91" s="10" t="str">
        <f>if(ISNUMBER($C91), VLOOKUP(AI91, mapping!$A$2:$B99,2,false),)</f>
        <v/>
      </c>
      <c r="BA91" s="10" t="str">
        <f t="shared" si="6"/>
        <v/>
      </c>
      <c r="BB91" s="10" t="str">
        <f>if(ISNUMBER($C91), VLOOKUP(AK91, mapping!$A$2:$B99,2,false),)</f>
        <v/>
      </c>
      <c r="BC91" s="10" t="str">
        <f t="shared" si="7"/>
        <v/>
      </c>
      <c r="BD91" s="10" t="str">
        <f>if(ISNUMBER($C91), VLOOKUP(AM91, mapping!$A$2:$B99,2,false),)</f>
        <v/>
      </c>
      <c r="BE91" s="10" t="str">
        <f t="shared" si="8"/>
        <v/>
      </c>
      <c r="BF91" s="10" t="str">
        <f>if(ISNUMBER($C91), VLOOKUP(AO91, mapping!$A$2:$B99,2,false),)</f>
        <v/>
      </c>
      <c r="BG91" s="10" t="str">
        <f t="shared" si="9"/>
        <v/>
      </c>
      <c r="BH91" s="10" t="str">
        <f>if(ISNUMBER($C91), VLOOKUP(AQ91, mapping!$A$2:$B99,2,false),)</f>
        <v/>
      </c>
      <c r="BI91" s="10" t="str">
        <f t="shared" ref="BI91:BJ91" si="98">if(ISNUMBER($C91), IF(AR91="Not Answered","-",AR91),)</f>
        <v/>
      </c>
      <c r="BJ91" s="10" t="str">
        <f t="shared" si="98"/>
        <v/>
      </c>
    </row>
    <row r="92">
      <c r="AT92" s="5" t="str">
        <f t="shared" si="3"/>
        <v/>
      </c>
      <c r="AU92" s="5" t="str">
        <f t="shared" si="4"/>
        <v/>
      </c>
      <c r="AV92" s="5" t="str">
        <f>IFERROR(__xludf.DUMMYFUNCTION("if(ISNUMBER(A92),FILTER(N92:AF92,REGEXMATCH(N92:AF92, ""Not Answered"")=FALSE),)"),"")</f>
        <v/>
      </c>
      <c r="AW92" s="5" t="str">
        <f>if(ISNUMBER($C92), VLOOKUP(AV92, konsulenter!$A$1:$B99,2,false),)</f>
        <v/>
      </c>
      <c r="AX92" s="10" t="str">
        <f>if(ISNUMBER($C92), VLOOKUP(AG92, mapping!$A$2:$B99,2,false),)</f>
        <v/>
      </c>
      <c r="AY92" s="10" t="str">
        <f t="shared" si="5"/>
        <v/>
      </c>
      <c r="AZ92" s="10" t="str">
        <f>if(ISNUMBER($C92), VLOOKUP(AI92, mapping!$A$2:$B99,2,false),)</f>
        <v/>
      </c>
      <c r="BA92" s="10" t="str">
        <f t="shared" si="6"/>
        <v/>
      </c>
      <c r="BB92" s="10" t="str">
        <f>if(ISNUMBER($C92), VLOOKUP(AK92, mapping!$A$2:$B99,2,false),)</f>
        <v/>
      </c>
      <c r="BC92" s="10" t="str">
        <f t="shared" si="7"/>
        <v/>
      </c>
      <c r="BD92" s="10" t="str">
        <f>if(ISNUMBER($C92), VLOOKUP(AM92, mapping!$A$2:$B99,2,false),)</f>
        <v/>
      </c>
      <c r="BE92" s="10" t="str">
        <f t="shared" si="8"/>
        <v/>
      </c>
      <c r="BF92" s="10" t="str">
        <f>if(ISNUMBER($C92), VLOOKUP(AO92, mapping!$A$2:$B99,2,false),)</f>
        <v/>
      </c>
      <c r="BG92" s="10" t="str">
        <f t="shared" si="9"/>
        <v/>
      </c>
      <c r="BH92" s="10" t="str">
        <f>if(ISNUMBER($C92), VLOOKUP(AQ92, mapping!$A$2:$B99,2,false),)</f>
        <v/>
      </c>
      <c r="BI92" s="10" t="str">
        <f t="shared" ref="BI92:BJ92" si="99">if(ISNUMBER($C92), IF(AR92="Not Answered","-",AR92),)</f>
        <v/>
      </c>
      <c r="BJ92" s="10" t="str">
        <f t="shared" si="99"/>
        <v/>
      </c>
    </row>
    <row r="93">
      <c r="AT93" s="5" t="str">
        <f t="shared" si="3"/>
        <v/>
      </c>
      <c r="AU93" s="5" t="str">
        <f t="shared" si="4"/>
        <v/>
      </c>
      <c r="AV93" s="5" t="str">
        <f>IFERROR(__xludf.DUMMYFUNCTION("if(ISNUMBER(A93),FILTER(N93:AF93,REGEXMATCH(N93:AF93, ""Not Answered"")=FALSE),)"),"")</f>
        <v/>
      </c>
      <c r="AW93" s="5" t="str">
        <f>if(ISNUMBER($C93), VLOOKUP(AV93, konsulenter!$A$1:$B99,2,false),)</f>
        <v/>
      </c>
      <c r="AX93" s="10" t="str">
        <f>if(ISNUMBER($C93), VLOOKUP(AG93, mapping!$A$2:$B99,2,false),)</f>
        <v/>
      </c>
      <c r="AY93" s="10" t="str">
        <f t="shared" si="5"/>
        <v/>
      </c>
      <c r="AZ93" s="10" t="str">
        <f>if(ISNUMBER($C93), VLOOKUP(AI93, mapping!$A$2:$B99,2,false),)</f>
        <v/>
      </c>
      <c r="BA93" s="10" t="str">
        <f t="shared" si="6"/>
        <v/>
      </c>
      <c r="BB93" s="10" t="str">
        <f>if(ISNUMBER($C93), VLOOKUP(AK93, mapping!$A$2:$B99,2,false),)</f>
        <v/>
      </c>
      <c r="BC93" s="10" t="str">
        <f t="shared" si="7"/>
        <v/>
      </c>
      <c r="BD93" s="10" t="str">
        <f>if(ISNUMBER($C93), VLOOKUP(AM93, mapping!$A$2:$B99,2,false),)</f>
        <v/>
      </c>
      <c r="BE93" s="10" t="str">
        <f t="shared" si="8"/>
        <v/>
      </c>
      <c r="BF93" s="10" t="str">
        <f>if(ISNUMBER($C93), VLOOKUP(AO93, mapping!$A$2:$B99,2,false),)</f>
        <v/>
      </c>
      <c r="BG93" s="10" t="str">
        <f t="shared" si="9"/>
        <v/>
      </c>
      <c r="BH93" s="10" t="str">
        <f>if(ISNUMBER($C93), VLOOKUP(AQ93, mapping!$A$2:$B99,2,false),)</f>
        <v/>
      </c>
      <c r="BI93" s="10" t="str">
        <f t="shared" ref="BI93:BJ93" si="100">if(ISNUMBER($C93), IF(AR93="Not Answered","-",AR93),)</f>
        <v/>
      </c>
      <c r="BJ93" s="10" t="str">
        <f t="shared" si="100"/>
        <v/>
      </c>
    </row>
    <row r="94">
      <c r="AT94" s="5" t="str">
        <f t="shared" si="3"/>
        <v/>
      </c>
      <c r="AU94" s="5" t="str">
        <f t="shared" si="4"/>
        <v/>
      </c>
      <c r="AV94" s="5" t="str">
        <f>IFERROR(__xludf.DUMMYFUNCTION("if(ISNUMBER(A94),FILTER(N94:AF94,REGEXMATCH(N94:AF94, ""Not Answered"")=FALSE),)"),"")</f>
        <v/>
      </c>
      <c r="AW94" s="5" t="str">
        <f>if(ISNUMBER($C94), VLOOKUP(AV94, konsulenter!$A$1:$B99,2,false),)</f>
        <v/>
      </c>
      <c r="AX94" s="10" t="str">
        <f>if(ISNUMBER($C94), VLOOKUP(AG94, mapping!$A$2:$B99,2,false),)</f>
        <v/>
      </c>
      <c r="AY94" s="10" t="str">
        <f t="shared" si="5"/>
        <v/>
      </c>
      <c r="AZ94" s="10" t="str">
        <f>if(ISNUMBER($C94), VLOOKUP(AI94, mapping!$A$2:$B99,2,false),)</f>
        <v/>
      </c>
      <c r="BA94" s="10" t="str">
        <f t="shared" si="6"/>
        <v/>
      </c>
      <c r="BB94" s="10" t="str">
        <f>if(ISNUMBER($C94), VLOOKUP(AK94, mapping!$A$2:$B99,2,false),)</f>
        <v/>
      </c>
      <c r="BC94" s="10" t="str">
        <f t="shared" si="7"/>
        <v/>
      </c>
      <c r="BD94" s="10" t="str">
        <f>if(ISNUMBER($C94), VLOOKUP(AM94, mapping!$A$2:$B99,2,false),)</f>
        <v/>
      </c>
      <c r="BE94" s="10" t="str">
        <f t="shared" si="8"/>
        <v/>
      </c>
      <c r="BF94" s="10" t="str">
        <f>if(ISNUMBER($C94), VLOOKUP(AO94, mapping!$A$2:$B99,2,false),)</f>
        <v/>
      </c>
      <c r="BG94" s="10" t="str">
        <f t="shared" si="9"/>
        <v/>
      </c>
      <c r="BH94" s="10" t="str">
        <f>if(ISNUMBER($C94), VLOOKUP(AQ94, mapping!$A$2:$B99,2,false),)</f>
        <v/>
      </c>
      <c r="BI94" s="10" t="str">
        <f t="shared" ref="BI94:BJ94" si="101">if(ISNUMBER($C94), IF(AR94="Not Answered","-",AR94),)</f>
        <v/>
      </c>
      <c r="BJ94" s="10" t="str">
        <f t="shared" si="101"/>
        <v/>
      </c>
    </row>
    <row r="95">
      <c r="AT95" s="5" t="str">
        <f t="shared" si="3"/>
        <v/>
      </c>
      <c r="AU95" s="5" t="str">
        <f t="shared" si="4"/>
        <v/>
      </c>
      <c r="AV95" s="5" t="str">
        <f>IFERROR(__xludf.DUMMYFUNCTION("if(ISNUMBER(A95),FILTER(N95:AF95,REGEXMATCH(N95:AF95, ""Not Answered"")=FALSE),)"),"")</f>
        <v/>
      </c>
      <c r="AW95" s="5" t="str">
        <f>if(ISNUMBER($C95), VLOOKUP(AV95, konsulenter!$A$1:$B99,2,false),)</f>
        <v/>
      </c>
      <c r="AX95" s="10" t="str">
        <f>if(ISNUMBER($C95), VLOOKUP(AG95, mapping!$A$2:$B99,2,false),)</f>
        <v/>
      </c>
      <c r="AY95" s="10" t="str">
        <f t="shared" si="5"/>
        <v/>
      </c>
      <c r="AZ95" s="10" t="str">
        <f>if(ISNUMBER($C95), VLOOKUP(AI95, mapping!$A$2:$B99,2,false),)</f>
        <v/>
      </c>
      <c r="BA95" s="10" t="str">
        <f t="shared" si="6"/>
        <v/>
      </c>
      <c r="BB95" s="10" t="str">
        <f>if(ISNUMBER($C95), VLOOKUP(AK95, mapping!$A$2:$B99,2,false),)</f>
        <v/>
      </c>
      <c r="BC95" s="10" t="str">
        <f t="shared" si="7"/>
        <v/>
      </c>
      <c r="BD95" s="10" t="str">
        <f>if(ISNUMBER($C95), VLOOKUP(AM95, mapping!$A$2:$B99,2,false),)</f>
        <v/>
      </c>
      <c r="BE95" s="10" t="str">
        <f t="shared" si="8"/>
        <v/>
      </c>
      <c r="BF95" s="10" t="str">
        <f>if(ISNUMBER($C95), VLOOKUP(AO95, mapping!$A$2:$B99,2,false),)</f>
        <v/>
      </c>
      <c r="BG95" s="10" t="str">
        <f t="shared" si="9"/>
        <v/>
      </c>
      <c r="BH95" s="10" t="str">
        <f>if(ISNUMBER($C95), VLOOKUP(AQ95, mapping!$A$2:$B99,2,false),)</f>
        <v/>
      </c>
      <c r="BI95" s="10" t="str">
        <f t="shared" ref="BI95:BJ95" si="102">if(ISNUMBER($C95), IF(AR95="Not Answered","-",AR95),)</f>
        <v/>
      </c>
      <c r="BJ95" s="10" t="str">
        <f t="shared" si="102"/>
        <v/>
      </c>
    </row>
    <row r="96">
      <c r="AT96" s="5" t="str">
        <f t="shared" si="3"/>
        <v/>
      </c>
      <c r="AU96" s="5" t="str">
        <f t="shared" si="4"/>
        <v/>
      </c>
      <c r="AV96" s="5" t="str">
        <f>IFERROR(__xludf.DUMMYFUNCTION("if(ISNUMBER(A96),FILTER(N96:AF96,REGEXMATCH(N96:AF96, ""Not Answered"")=FALSE),)"),"")</f>
        <v/>
      </c>
      <c r="AW96" s="5" t="str">
        <f>if(ISNUMBER($C96), VLOOKUP(AV96, konsulenter!$A$1:$B99,2,false),)</f>
        <v/>
      </c>
      <c r="AX96" s="10" t="str">
        <f>if(ISNUMBER($C96), VLOOKUP(AG96, mapping!$A$2:$B99,2,false),)</f>
        <v/>
      </c>
      <c r="AY96" s="10" t="str">
        <f t="shared" si="5"/>
        <v/>
      </c>
      <c r="AZ96" s="10" t="str">
        <f>if(ISNUMBER($C96), VLOOKUP(AI96, mapping!$A$2:$B99,2,false),)</f>
        <v/>
      </c>
      <c r="BA96" s="10" t="str">
        <f t="shared" si="6"/>
        <v/>
      </c>
      <c r="BB96" s="10" t="str">
        <f>if(ISNUMBER($C96), VLOOKUP(AK96, mapping!$A$2:$B99,2,false),)</f>
        <v/>
      </c>
      <c r="BC96" s="10" t="str">
        <f t="shared" si="7"/>
        <v/>
      </c>
      <c r="BD96" s="10" t="str">
        <f>if(ISNUMBER($C96), VLOOKUP(AM96, mapping!$A$2:$B99,2,false),)</f>
        <v/>
      </c>
      <c r="BE96" s="10" t="str">
        <f t="shared" si="8"/>
        <v/>
      </c>
      <c r="BF96" s="10" t="str">
        <f>if(ISNUMBER($C96), VLOOKUP(AO96, mapping!$A$2:$B99,2,false),)</f>
        <v/>
      </c>
      <c r="BG96" s="10" t="str">
        <f t="shared" si="9"/>
        <v/>
      </c>
      <c r="BH96" s="10" t="str">
        <f>if(ISNUMBER($C96), VLOOKUP(AQ96, mapping!$A$2:$B99,2,false),)</f>
        <v/>
      </c>
      <c r="BI96" s="10" t="str">
        <f t="shared" ref="BI96:BJ96" si="103">if(ISNUMBER($C96), IF(AR96="Not Answered","-",AR96),)</f>
        <v/>
      </c>
      <c r="BJ96" s="10" t="str">
        <f t="shared" si="103"/>
        <v/>
      </c>
    </row>
    <row r="97">
      <c r="AT97" s="5" t="str">
        <f t="shared" si="3"/>
        <v/>
      </c>
      <c r="AU97" s="5" t="str">
        <f t="shared" si="4"/>
        <v/>
      </c>
      <c r="AV97" s="5" t="str">
        <f>IFERROR(__xludf.DUMMYFUNCTION("if(ISNUMBER(A97),FILTER(N97:AF97,REGEXMATCH(N97:AF97, ""Not Answered"")=FALSE),)"),"")</f>
        <v/>
      </c>
      <c r="AW97" s="5" t="str">
        <f>if(ISNUMBER($C97), VLOOKUP(AV97, konsulenter!$A$1:$B99,2,false),)</f>
        <v/>
      </c>
      <c r="AX97" s="10" t="str">
        <f>if(ISNUMBER($C97), VLOOKUP(AG97, mapping!$A$2:$B99,2,false),)</f>
        <v/>
      </c>
      <c r="AY97" s="10" t="str">
        <f t="shared" si="5"/>
        <v/>
      </c>
      <c r="AZ97" s="10" t="str">
        <f>if(ISNUMBER($C97), VLOOKUP(AI97, mapping!$A$2:$B99,2,false),)</f>
        <v/>
      </c>
      <c r="BA97" s="10" t="str">
        <f t="shared" si="6"/>
        <v/>
      </c>
      <c r="BB97" s="10" t="str">
        <f>if(ISNUMBER($C97), VLOOKUP(AK97, mapping!$A$2:$B99,2,false),)</f>
        <v/>
      </c>
      <c r="BC97" s="10" t="str">
        <f t="shared" si="7"/>
        <v/>
      </c>
      <c r="BD97" s="10" t="str">
        <f>if(ISNUMBER($C97), VLOOKUP(AM97, mapping!$A$2:$B99,2,false),)</f>
        <v/>
      </c>
      <c r="BE97" s="10" t="str">
        <f t="shared" si="8"/>
        <v/>
      </c>
      <c r="BF97" s="10" t="str">
        <f>if(ISNUMBER($C97), VLOOKUP(AO97, mapping!$A$2:$B99,2,false),)</f>
        <v/>
      </c>
      <c r="BG97" s="10" t="str">
        <f t="shared" si="9"/>
        <v/>
      </c>
      <c r="BH97" s="10" t="str">
        <f>if(ISNUMBER($C97), VLOOKUP(AQ97, mapping!$A$2:$B99,2,false),)</f>
        <v/>
      </c>
      <c r="BI97" s="10" t="str">
        <f t="shared" ref="BI97:BJ97" si="104">if(ISNUMBER($C97), IF(AR97="Not Answered","-",AR97),)</f>
        <v/>
      </c>
      <c r="BJ97" s="10" t="str">
        <f t="shared" si="104"/>
        <v/>
      </c>
    </row>
    <row r="98">
      <c r="AT98" s="5" t="str">
        <f t="shared" si="3"/>
        <v/>
      </c>
      <c r="AU98" s="5" t="str">
        <f t="shared" si="4"/>
        <v/>
      </c>
      <c r="AV98" s="5" t="str">
        <f>IFERROR(__xludf.DUMMYFUNCTION("if(ISNUMBER(A98),FILTER(N98:AF98,REGEXMATCH(N98:AF98, ""Not Answered"")=FALSE),)"),"")</f>
        <v/>
      </c>
      <c r="AW98" s="5" t="str">
        <f>if(ISNUMBER($C98), VLOOKUP(AV98, konsulenter!$A$1:$B99,2,false),)</f>
        <v/>
      </c>
      <c r="AX98" s="10" t="str">
        <f>if(ISNUMBER($C98), VLOOKUP(AG98, mapping!$A$2:$B99,2,false),)</f>
        <v/>
      </c>
      <c r="AY98" s="10" t="str">
        <f t="shared" si="5"/>
        <v/>
      </c>
      <c r="AZ98" s="10" t="str">
        <f>if(ISNUMBER($C98), VLOOKUP(AI98, mapping!$A$2:$B99,2,false),)</f>
        <v/>
      </c>
      <c r="BA98" s="10" t="str">
        <f t="shared" si="6"/>
        <v/>
      </c>
      <c r="BB98" s="10" t="str">
        <f>if(ISNUMBER($C98), VLOOKUP(AK98, mapping!$A$2:$B99,2,false),)</f>
        <v/>
      </c>
      <c r="BC98" s="10" t="str">
        <f t="shared" si="7"/>
        <v/>
      </c>
      <c r="BD98" s="10" t="str">
        <f>if(ISNUMBER($C98), VLOOKUP(AM98, mapping!$A$2:$B99,2,false),)</f>
        <v/>
      </c>
      <c r="BE98" s="10" t="str">
        <f t="shared" si="8"/>
        <v/>
      </c>
      <c r="BF98" s="10" t="str">
        <f>if(ISNUMBER($C98), VLOOKUP(AO98, mapping!$A$2:$B99,2,false),)</f>
        <v/>
      </c>
      <c r="BG98" s="10" t="str">
        <f t="shared" si="9"/>
        <v/>
      </c>
      <c r="BH98" s="10" t="str">
        <f>if(ISNUMBER($C98), VLOOKUP(AQ98, mapping!$A$2:$B99,2,false),)</f>
        <v/>
      </c>
      <c r="BI98" s="10" t="str">
        <f t="shared" ref="BI98:BJ98" si="105">if(ISNUMBER($C98), IF(AR98="Not Answered","-",AR98),)</f>
        <v/>
      </c>
      <c r="BJ98" s="10" t="str">
        <f t="shared" si="105"/>
        <v/>
      </c>
    </row>
    <row r="99">
      <c r="AT99" s="5" t="str">
        <f t="shared" si="3"/>
        <v/>
      </c>
      <c r="AU99" s="5" t="str">
        <f t="shared" si="4"/>
        <v/>
      </c>
      <c r="AV99" s="5" t="str">
        <f>IFERROR(__xludf.DUMMYFUNCTION("if(ISNUMBER(A99),FILTER(N99:AF99,REGEXMATCH(N99:AF99, ""Not Answered"")=FALSE),)"),"")</f>
        <v/>
      </c>
      <c r="AW99" s="5" t="str">
        <f>if(ISNUMBER($C99), VLOOKUP(AV99, konsulenter!$A$1:$B99,2,false),)</f>
        <v/>
      </c>
      <c r="AX99" s="10" t="str">
        <f>if(ISNUMBER($C99), VLOOKUP(AG99, mapping!$A$2:$B99,2,false),)</f>
        <v/>
      </c>
      <c r="AY99" s="10" t="str">
        <f t="shared" si="5"/>
        <v/>
      </c>
      <c r="AZ99" s="10" t="str">
        <f>if(ISNUMBER($C99), VLOOKUP(AI99, mapping!$A$2:$B99,2,false),)</f>
        <v/>
      </c>
      <c r="BA99" s="10" t="str">
        <f t="shared" si="6"/>
        <v/>
      </c>
      <c r="BB99" s="10" t="str">
        <f>if(ISNUMBER($C99), VLOOKUP(AK99, mapping!$A$2:$B99,2,false),)</f>
        <v/>
      </c>
      <c r="BC99" s="10" t="str">
        <f t="shared" si="7"/>
        <v/>
      </c>
      <c r="BD99" s="10" t="str">
        <f>if(ISNUMBER($C99), VLOOKUP(AM99, mapping!$A$2:$B99,2,false),)</f>
        <v/>
      </c>
      <c r="BE99" s="10" t="str">
        <f t="shared" si="8"/>
        <v/>
      </c>
      <c r="BF99" s="10" t="str">
        <f>if(ISNUMBER($C99), VLOOKUP(AO99, mapping!$A$2:$B99,2,false),)</f>
        <v/>
      </c>
      <c r="BG99" s="10" t="str">
        <f t="shared" si="9"/>
        <v/>
      </c>
      <c r="BH99" s="10" t="str">
        <f>if(ISNUMBER($C99), VLOOKUP(AQ99, mapping!$A$2:$B99,2,false),)</f>
        <v/>
      </c>
      <c r="BI99" s="10" t="str">
        <f t="shared" ref="BI99:BJ99" si="106">if(ISNUMBER($C99), IF(AR99="Not Answered","-",AR99),)</f>
        <v/>
      </c>
      <c r="BJ99" s="10" t="str">
        <f t="shared" si="106"/>
        <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2" max="43" width="17.63"/>
    <col customWidth="1" min="44" max="56" width="18.38"/>
  </cols>
  <sheetData>
    <row r="1">
      <c r="A1" s="5" t="str">
        <f>IFERROR(__xludf.DUMMYFUNCTION("query(Sheet6!A:AM,""select * where Col6 = 'completed'"",true)"),"Response ID")</f>
        <v>Response ID</v>
      </c>
      <c r="B1" s="5" t="str">
        <f>IFERROR(__xludf.DUMMYFUNCTION("""COMPUTED_VALUE"""),"Date Created")</f>
        <v>Date Created</v>
      </c>
      <c r="C1" s="5" t="str">
        <f>IFERROR(__xludf.DUMMYFUNCTION("""COMPUTED_VALUE"""),"Date Modified")</f>
        <v>Date Modified</v>
      </c>
      <c r="D1" s="5" t="str">
        <f>IFERROR(__xludf.DUMMYFUNCTION("""COMPUTED_VALUE"""),"IP Address")</f>
        <v>IP Address</v>
      </c>
      <c r="E1" s="5" t="str">
        <f>IFERROR(__xludf.DUMMYFUNCTION("""COMPUTED_VALUE"""),"Duration (sec)")</f>
        <v>Duration (sec)</v>
      </c>
      <c r="F1" s="5" t="str">
        <f>IFERROR(__xludf.DUMMYFUNCTION("""COMPUTED_VALUE"""),"Response Status")</f>
        <v>Response Status</v>
      </c>
      <c r="G1" s="5" t="str">
        <f>IFERROR(__xludf.DUMMYFUNCTION("""COMPUTED_VALUE"""),"Email")</f>
        <v>Email</v>
      </c>
      <c r="H1" s="5" t="str">
        <f>IFERROR(__xludf.DUMMYFUNCTION("""COMPUTED_VALUE"""),"First Name")</f>
        <v>First Name</v>
      </c>
      <c r="I1" s="5" t="str">
        <f>IFERROR(__xludf.DUMMYFUNCTION("""COMPUTED_VALUE"""),"Last Name")</f>
        <v>Last Name</v>
      </c>
      <c r="J1" s="5" t="str">
        <f>IFERROR(__xludf.DUMMYFUNCTION("""COMPUTED_VALUE"""),"Collector ID")</f>
        <v>Collector ID</v>
      </c>
      <c r="K1" s="5" t="str">
        <f>IFERROR(__xludf.DUMMYFUNCTION("""COMPUTED_VALUE"""),"Collector Type")</f>
        <v>Collector Type</v>
      </c>
      <c r="L1" s="5" t="str">
        <f>IFERROR(__xludf.DUMMYFUNCTION("""COMPUTED_VALUE"""),"Custom Value")</f>
        <v>Custom Value</v>
      </c>
      <c r="M1" s="5" t="str">
        <f>IFERROR(__xludf.DUMMYFUNCTION("""COMPUTED_VALUE"""),"Konsulent")</f>
        <v>Konsulent</v>
      </c>
      <c r="N1" s="5" t="str">
        <f>IFERROR(__xludf.DUMMYFUNCTION("""COMPUTED_VALUE"""),"Velg selskap/kunde")</f>
        <v>Velg selskap/kunde</v>
      </c>
      <c r="O1" s="5" t="str">
        <f>IFERROR(__xludf.DUMMYFUNCTION("""COMPUTED_VALUE"""),"Tilbakemeldingen gjelder")</f>
        <v>Tilbakemeldingen gjelder</v>
      </c>
      <c r="P1" s="5" t="str">
        <f>IFERROR(__xludf.DUMMYFUNCTION("""COMPUTED_VALUE"""),"Tilbakemeldingen gjelder")</f>
        <v>Tilbakemeldingen gjelder</v>
      </c>
      <c r="Q1" s="5" t="str">
        <f>IFERROR(__xludf.DUMMYFUNCTION("""COMPUTED_VALUE"""),"Tilbakemeldingen gjelder")</f>
        <v>Tilbakemeldingen gjelder</v>
      </c>
      <c r="R1" s="5" t="str">
        <f>IFERROR(__xludf.DUMMYFUNCTION("""COMPUTED_VALUE"""),"Tilbakemeldingen gjelder")</f>
        <v>Tilbakemeldingen gjelder</v>
      </c>
      <c r="S1" s="5" t="str">
        <f>IFERROR(__xludf.DUMMYFUNCTION("""COMPUTED_VALUE"""),"Tilbakemeldingen gjelder")</f>
        <v>Tilbakemeldingen gjelder</v>
      </c>
      <c r="T1" s="5" t="str">
        <f>IFERROR(__xludf.DUMMYFUNCTION("""COMPUTED_VALUE"""),"Tilbakemeldingen gjelder")</f>
        <v>Tilbakemeldingen gjelder</v>
      </c>
      <c r="U1" s="5" t="str">
        <f>IFERROR(__xludf.DUMMYFUNCTION("""COMPUTED_VALUE"""),"Tilbakemeldingen gjelder")</f>
        <v>Tilbakemeldingen gjelder</v>
      </c>
      <c r="V1" s="5" t="str">
        <f>IFERROR(__xludf.DUMMYFUNCTION("""COMPUTED_VALUE"""),"Tilbakemeldingen gjelder")</f>
        <v>Tilbakemeldingen gjelder</v>
      </c>
      <c r="W1" s="5" t="str">
        <f>IFERROR(__xludf.DUMMYFUNCTION("""COMPUTED_VALUE"""),"Tilbakemeldingen gjelder")</f>
        <v>Tilbakemeldingen gjelder</v>
      </c>
      <c r="X1" s="5" t="str">
        <f>IFERROR(__xludf.DUMMYFUNCTION("""COMPUTED_VALUE"""),"Tilbakemeldingen gjelder")</f>
        <v>Tilbakemeldingen gjelder</v>
      </c>
      <c r="Y1" s="5" t="str">
        <f>IFERROR(__xludf.DUMMYFUNCTION("""COMPUTED_VALUE"""),"Tilbakemeldingen gjelder")</f>
        <v>Tilbakemeldingen gjelder</v>
      </c>
      <c r="Z1" s="5" t="str">
        <f>IFERROR(__xludf.DUMMYFUNCTION("""COMPUTED_VALUE"""),"Tilbakemeldingen gjelder")</f>
        <v>Tilbakemeldingen gjelder</v>
      </c>
      <c r="AA1" s="5" t="str">
        <f>IFERROR(__xludf.DUMMYFUNCTION("""COMPUTED_VALUE"""),"Hvor godt fornøyd er du med det utførte arbeidet til konsulenten fra JProfessionals AS")</f>
        <v>Hvor godt fornøyd er du med det utførte arbeidet til konsulenten fra JProfessionals AS</v>
      </c>
      <c r="AB1" s="5" t="str">
        <f>IFERROR(__xludf.DUMMYFUNCTION("""COMPUTED_VALUE"""),"Hvor godt fornøyd er du med det utførte arbeidet til konsulenten fra JProfessionals AS | Kommentar")</f>
        <v>Hvor godt fornøyd er du med det utførte arbeidet til konsulenten fra JProfessionals AS | Kommentar</v>
      </c>
      <c r="AC1" s="5" t="str">
        <f>IFERROR(__xludf.DUMMYFUNCTION("""COMPUTED_VALUE"""),"Har konsulenten fra JProfessionals AS den nødvendige kompetansen for arbeidet dere trenger utført?")</f>
        <v>Har konsulenten fra JProfessionals AS den nødvendige kompetansen for arbeidet dere trenger utført?</v>
      </c>
      <c r="AD1" s="5" t="str">
        <f>IFERROR(__xludf.DUMMYFUNCTION("""COMPUTED_VALUE"""),"Har konsulenten fra JProfessionals AS den nødvendige kompetansen for arbeidet dere trenger utført? | Kommentar / Er det kompetanse du savner?")</f>
        <v>Har konsulenten fra JProfessionals AS den nødvendige kompetansen for arbeidet dere trenger utført? | Kommentar / Er det kompetanse du savner?</v>
      </c>
      <c r="AE1" s="5" t="str">
        <f>IFERROR(__xludf.DUMMYFUNCTION("""COMPUTED_VALUE"""),"Hvor godt fornøyd er du med konsulenten fra JProfessionals AS sitt bidrag til kompetansedeling innad i ditt team/din organisasjon?")</f>
        <v>Hvor godt fornøyd er du med konsulenten fra JProfessionals AS sitt bidrag til kompetansedeling innad i ditt team/din organisasjon?</v>
      </c>
      <c r="AF1" s="5" t="str">
        <f>IFERROR(__xludf.DUMMYFUNCTION("""COMPUTED_VALUE"""),"Hvor godt fornøyd er du med konsulenten fra JProfessionals AS sitt bidrag til kompetansedeling innad i ditt team/din organisasjon? | Kommentar")</f>
        <v>Hvor godt fornøyd er du med konsulenten fra JProfessionals AS sitt bidrag til kompetansedeling innad i ditt team/din organisasjon? | Kommentar</v>
      </c>
      <c r="AG1" s="5" t="str">
        <f>IFERROR(__xludf.DUMMYFUNCTION("""COMPUTED_VALUE"""),"Hvor godt fornøyd er du med det generelle samarbeidet og kommunikasjonen med konsulenten fra JProfessionals AS?")</f>
        <v>Hvor godt fornøyd er du med det generelle samarbeidet og kommunikasjonen med konsulenten fra JProfessionals AS?</v>
      </c>
      <c r="AH1" s="5" t="str">
        <f>IFERROR(__xludf.DUMMYFUNCTION("""COMPUTED_VALUE"""),"Hvor godt fornøyd er du med det generelle samarbeidet og kommunikasjonen med konsulenten fra JProfessionals AS? | Kommentar")</f>
        <v>Hvor godt fornøyd er du med det generelle samarbeidet og kommunikasjonen med konsulenten fra JProfessionals AS? | Kommentar</v>
      </c>
      <c r="AI1" s="5" t="str">
        <f>IFERROR(__xludf.DUMMYFUNCTION("""COMPUTED_VALUE"""),"Hvor godt fornøyd er du med oppfølgingen fra, og samarbeidet med, JProfessionals AS? (valgfritt) - Om JProfessionals ikke er leverandøren du forholder deg til kan du se bort fra dette spørsmålet.")</f>
        <v>Hvor godt fornøyd er du med oppfølgingen fra, og samarbeidet med, JProfessionals AS? (valgfritt) - Om JProfessionals ikke er leverandøren du forholder deg til kan du se bort fra dette spørsmålet.</v>
      </c>
      <c r="AJ1" s="5" t="str">
        <f>IFERROR(__xludf.DUMMYFUNCTION("""COMPUTED_VALUE"""),"Hvor godt fornøyd er du med oppfølgingen fra, og samarbeidet med, JProfessionals AS? (valgfritt) - Om JProfessionals ikke er leverandøren du forholder deg til kan du se bort fra dette spørsmålet. | Kommentar")</f>
        <v>Hvor godt fornøyd er du med oppfølgingen fra, og samarbeidet med, JProfessionals AS? (valgfritt) - Om JProfessionals ikke er leverandøren du forholder deg til kan du se bort fra dette spørsmålet. | Kommentar</v>
      </c>
      <c r="AK1" s="5" t="str">
        <f>IFERROR(__xludf.DUMMYFUNCTION("""COMPUTED_VALUE"""),"I hvor stor grad synes du at kostnaden for konsulenten fra JProfessionals AS er verdt nytten de tilfører din organisasjon?")</f>
        <v>I hvor stor grad synes du at kostnaden for konsulenten fra JProfessionals AS er verdt nytten de tilfører din organisasjon?</v>
      </c>
      <c r="AL1" s="5" t="str">
        <f>IFERROR(__xludf.DUMMYFUNCTION("""COMPUTED_VALUE"""),"I hvor stor grad synes du at kostnaden for konsulenten fra JProfessionals AS er verdt nytten de tilfører din organisasjon? | Kommentar")</f>
        <v>I hvor stor grad synes du at kostnaden for konsulenten fra JProfessionals AS er verdt nytten de tilfører din organisasjon? | Kommentar</v>
      </c>
      <c r="AM1" s="5" t="str">
        <f>IFERROR(__xludf.DUMMYFUNCTION("""COMPUTED_VALUE"""),"Er det ytterligere områder eller tjenester du ser behov for bistand til?")</f>
        <v>Er det ytterligere områder eller tjenester du ser behov for bistand til?</v>
      </c>
      <c r="AN1" s="2" t="s">
        <v>279</v>
      </c>
      <c r="AO1" s="2" t="s">
        <v>280</v>
      </c>
      <c r="AP1" s="2" t="s">
        <v>201</v>
      </c>
      <c r="AQ1" s="2" t="s">
        <v>281</v>
      </c>
      <c r="AR1" s="10" t="str">
        <f t="shared" ref="AR1:BD1" si="1">AA1</f>
        <v>Hvor godt fornøyd er du med det utførte arbeidet til konsulenten fra JProfessionals AS</v>
      </c>
      <c r="AS1" s="10" t="str">
        <f t="shared" si="1"/>
        <v>Hvor godt fornøyd er du med det utførte arbeidet til konsulenten fra JProfessionals AS | Kommentar</v>
      </c>
      <c r="AT1" s="10" t="str">
        <f t="shared" si="1"/>
        <v>Har konsulenten fra JProfessionals AS den nødvendige kompetansen for arbeidet dere trenger utført?</v>
      </c>
      <c r="AU1" s="10" t="str">
        <f t="shared" si="1"/>
        <v>Har konsulenten fra JProfessionals AS den nødvendige kompetansen for arbeidet dere trenger utført? | Kommentar / Er det kompetanse du savner?</v>
      </c>
      <c r="AV1" s="10" t="str">
        <f t="shared" si="1"/>
        <v>Hvor godt fornøyd er du med konsulenten fra JProfessionals AS sitt bidrag til kompetansedeling innad i ditt team/din organisasjon?</v>
      </c>
      <c r="AW1" s="10" t="str">
        <f t="shared" si="1"/>
        <v>Hvor godt fornøyd er du med konsulenten fra JProfessionals AS sitt bidrag til kompetansedeling innad i ditt team/din organisasjon? | Kommentar</v>
      </c>
      <c r="AX1" s="10" t="str">
        <f t="shared" si="1"/>
        <v>Hvor godt fornøyd er du med det generelle samarbeidet og kommunikasjonen med konsulenten fra JProfessionals AS?</v>
      </c>
      <c r="AY1" s="10" t="str">
        <f t="shared" si="1"/>
        <v>Hvor godt fornøyd er du med det generelle samarbeidet og kommunikasjonen med konsulenten fra JProfessionals AS? | Kommentar</v>
      </c>
      <c r="AZ1" s="10" t="str">
        <f t="shared" si="1"/>
        <v>Hvor godt fornøyd er du med oppfølgingen fra, og samarbeidet med, JProfessionals AS? (valgfritt) - Om JProfessionals ikke er leverandøren du forholder deg til kan du se bort fra dette spørsmålet.</v>
      </c>
      <c r="BA1" s="10" t="str">
        <f t="shared" si="1"/>
        <v>Hvor godt fornøyd er du med oppfølgingen fra, og samarbeidet med, JProfessionals AS? (valgfritt) - Om JProfessionals ikke er leverandøren du forholder deg til kan du se bort fra dette spørsmålet. | Kommentar</v>
      </c>
      <c r="BB1" s="10" t="str">
        <f t="shared" si="1"/>
        <v>I hvor stor grad synes du at kostnaden for konsulenten fra JProfessionals AS er verdt nytten de tilfører din organisasjon?</v>
      </c>
      <c r="BC1" s="10" t="str">
        <f t="shared" si="1"/>
        <v>I hvor stor grad synes du at kostnaden for konsulenten fra JProfessionals AS er verdt nytten de tilfører din organisasjon? | Kommentar</v>
      </c>
      <c r="BD1" s="10" t="str">
        <f t="shared" si="1"/>
        <v>Er det ytterligere områder eller tjenester du ser behov for bistand til?</v>
      </c>
    </row>
    <row r="2">
      <c r="A2" s="5">
        <f>IFERROR(__xludf.DUMMYFUNCTION("""COMPUTED_VALUE"""),1.14452562205E11)</f>
        <v>114452562205</v>
      </c>
      <c r="B2" s="11">
        <f>IFERROR(__xludf.DUMMYFUNCTION("""COMPUTED_VALUE"""),45232.449421296296)</f>
        <v>45232.44942</v>
      </c>
      <c r="C2" s="11">
        <f>IFERROR(__xludf.DUMMYFUNCTION("""COMPUTED_VALUE"""),45232.450891203705)</f>
        <v>45232.45089</v>
      </c>
      <c r="D2" s="5" t="str">
        <f>IFERROR(__xludf.DUMMYFUNCTION("""COMPUTED_VALUE"""),"80.203.100.46")</f>
        <v>80.203.100.46</v>
      </c>
      <c r="E2" s="5">
        <f>IFERROR(__xludf.DUMMYFUNCTION("""COMPUTED_VALUE"""),127.0)</f>
        <v>127</v>
      </c>
      <c r="F2" s="5" t="str">
        <f>IFERROR(__xludf.DUMMYFUNCTION("""COMPUTED_VALUE"""),"completed")</f>
        <v>completed</v>
      </c>
      <c r="G2" s="5" t="str">
        <f>IFERROR(__xludf.DUMMYFUNCTION("""COMPUTED_VALUE"""),"Not Answered")</f>
        <v>Not Answered</v>
      </c>
      <c r="H2" s="5" t="str">
        <f>IFERROR(__xludf.DUMMYFUNCTION("""COMPUTED_VALUE"""),"Not Answered")</f>
        <v>Not Answered</v>
      </c>
      <c r="I2" s="5" t="str">
        <f>IFERROR(__xludf.DUMMYFUNCTION("""COMPUTED_VALUE"""),"Not Answered")</f>
        <v>Not Answered</v>
      </c>
      <c r="J2" s="5">
        <f>IFERROR(__xludf.DUMMYFUNCTION("""COMPUTED_VALUE"""),4.27821263E8)</f>
        <v>427821263</v>
      </c>
      <c r="K2" s="5" t="str">
        <f>IFERROR(__xludf.DUMMYFUNCTION("""COMPUTED_VALUE"""),"weblink")</f>
        <v>weblink</v>
      </c>
      <c r="L2" s="5" t="str">
        <f>IFERROR(__xludf.DUMMYFUNCTION("""COMPUTED_VALUE"""),"Not Answered")</f>
        <v>Not Answered</v>
      </c>
      <c r="M2" s="5" t="str">
        <f>IFERROR(__xludf.DUMMYFUNCTION("""COMPUTED_VALUE"""),"Not Answered")</f>
        <v>Not Answered</v>
      </c>
      <c r="N2" s="5" t="str">
        <f>IFERROR(__xludf.DUMMYFUNCTION("""COMPUTED_VALUE"""),"NAV")</f>
        <v>NAV</v>
      </c>
      <c r="O2" s="5" t="str">
        <f>IFERROR(__xludf.DUMMYFUNCTION("""COMPUTED_VALUE"""),"Not Answered")</f>
        <v>Not Answered</v>
      </c>
      <c r="P2" s="5" t="str">
        <f>IFERROR(__xludf.DUMMYFUNCTION("""COMPUTED_VALUE"""),"Not Answered")</f>
        <v>Not Answered</v>
      </c>
      <c r="Q2" s="5" t="str">
        <f>IFERROR(__xludf.DUMMYFUNCTION("""COMPUTED_VALUE"""),"Not Answered")</f>
        <v>Not Answered</v>
      </c>
      <c r="R2" s="5" t="str">
        <f>IFERROR(__xludf.DUMMYFUNCTION("""COMPUTED_VALUE"""),"Not Answered")</f>
        <v>Not Answered</v>
      </c>
      <c r="S2" s="5" t="str">
        <f>IFERROR(__xludf.DUMMYFUNCTION("""COMPUTED_VALUE"""),"Not Answered")</f>
        <v>Not Answered</v>
      </c>
      <c r="T2" s="5" t="str">
        <f>IFERROR(__xludf.DUMMYFUNCTION("""COMPUTED_VALUE"""),"Not Answered")</f>
        <v>Not Answered</v>
      </c>
      <c r="U2" s="5" t="str">
        <f>IFERROR(__xludf.DUMMYFUNCTION("""COMPUTED_VALUE"""),"Not Answered")</f>
        <v>Not Answered</v>
      </c>
      <c r="V2" s="5" t="str">
        <f>IFERROR(__xludf.DUMMYFUNCTION("""COMPUTED_VALUE"""),"Not Answered")</f>
        <v>Not Answered</v>
      </c>
      <c r="W2" s="5" t="str">
        <f>IFERROR(__xludf.DUMMYFUNCTION("""COMPUTED_VALUE"""),"Not Answered")</f>
        <v>Not Answered</v>
      </c>
      <c r="X2" s="5" t="str">
        <f>IFERROR(__xludf.DUMMYFUNCTION("""COMPUTED_VALUE"""),"Not Answered")</f>
        <v>Not Answered</v>
      </c>
      <c r="Y2" s="5" t="str">
        <f>IFERROR(__xludf.DUMMYFUNCTION("""COMPUTED_VALUE"""),"Not Answered")</f>
        <v>Not Answered</v>
      </c>
      <c r="Z2" s="5" t="str">
        <f>IFERROR(__xludf.DUMMYFUNCTION("""COMPUTED_VALUE"""),"Håvard Andersen")</f>
        <v>Håvard Andersen</v>
      </c>
      <c r="AA2" s="5" t="str">
        <f>IFERROR(__xludf.DUMMYFUNCTION("""COMPUTED_VALUE"""),"Svært fornøyd")</f>
        <v>Svært fornøyd</v>
      </c>
      <c r="AB2" s="5" t="str">
        <f>IFERROR(__xludf.DUMMYFUNCTION("""COMPUTED_VALUE"""),"Not Answered")</f>
        <v>Not Answered</v>
      </c>
      <c r="AC2" s="5" t="str">
        <f>IFERROR(__xludf.DUMMYFUNCTION("""COMPUTED_VALUE"""),"I stor grad")</f>
        <v>I stor grad</v>
      </c>
      <c r="AD2" s="5" t="str">
        <f>IFERROR(__xludf.DUMMYFUNCTION("""COMPUTED_VALUE"""),"Not Answered")</f>
        <v>Not Answered</v>
      </c>
      <c r="AE2" s="5" t="str">
        <f>IFERROR(__xludf.DUMMYFUNCTION("""COMPUTED_VALUE"""),"Svært fornøyd")</f>
        <v>Svært fornøyd</v>
      </c>
      <c r="AF2" s="5" t="str">
        <f>IFERROR(__xludf.DUMMYFUNCTION("""COMPUTED_VALUE"""),"Not Answered")</f>
        <v>Not Answered</v>
      </c>
      <c r="AG2" s="5" t="str">
        <f>IFERROR(__xludf.DUMMYFUNCTION("""COMPUTED_VALUE"""),"Svært fornøyd")</f>
        <v>Svært fornøyd</v>
      </c>
      <c r="AH2" s="5" t="str">
        <f>IFERROR(__xludf.DUMMYFUNCTION("""COMPUTED_VALUE"""),"Not Answered")</f>
        <v>Not Answered</v>
      </c>
      <c r="AI2" s="5" t="str">
        <f>IFERROR(__xludf.DUMMYFUNCTION("""COMPUTED_VALUE"""),"Not Answered")</f>
        <v>Not Answered</v>
      </c>
      <c r="AJ2" s="5" t="str">
        <f>IFERROR(__xludf.DUMMYFUNCTION("""COMPUTED_VALUE"""),"Not Answered")</f>
        <v>Not Answered</v>
      </c>
      <c r="AK2" s="5" t="str">
        <f>IFERROR(__xludf.DUMMYFUNCTION("""COMPUTED_VALUE"""),"5 - star")</f>
        <v>5 - star</v>
      </c>
      <c r="AL2" s="5" t="str">
        <f>IFERROR(__xludf.DUMMYFUNCTION("""COMPUTED_VALUE"""),"Not Answered")</f>
        <v>Not Answered</v>
      </c>
      <c r="AM2" s="5" t="str">
        <f>IFERROR(__xludf.DUMMYFUNCTION("""COMPUTED_VALUE"""),"Not Answered")</f>
        <v>Not Answered</v>
      </c>
      <c r="AN2" s="11">
        <f t="shared" ref="AN2:AN99" si="3">if(ISNUMBER(A2),B2,)</f>
        <v>45232.44942</v>
      </c>
      <c r="AO2" s="5" t="str">
        <f t="shared" ref="AO2:AO99" si="4">if(ISNUMBER(A2),N2,)</f>
        <v>NAV</v>
      </c>
      <c r="AP2" s="5" t="str">
        <f>IFERROR(__xludf.DUMMYFUNCTION("if(ISNUMBER(A2),FILTER(O2:Z2,REGEXMATCH(O2:Z2, ""Not Answered"")=FALSE),)"),"Håvard Andersen")</f>
        <v>Håvard Andersen</v>
      </c>
      <c r="AQ2" s="5" t="str">
        <f>if(ISNUMBER($C2), VLOOKUP(AP2, konsulenter!$A$1:$B99,2,false),)</f>
        <v>#N/A</v>
      </c>
      <c r="AR2" s="10">
        <f>if(ISNUMBER($A2), VLOOKUP(AA2, mapping!$A$2:$B99,2,false),)</f>
        <v>6</v>
      </c>
      <c r="AS2" s="10" t="str">
        <f t="shared" ref="AS2:AS99" si="5">if(ISNUMBER($A2), IF(AB2="Not Answered","-",AB2),)</f>
        <v>-</v>
      </c>
      <c r="AT2" s="10">
        <f>if(ISNUMBER($A2), VLOOKUP(AC2, mapping!$A$2:$B99,2,false),)</f>
        <v>6</v>
      </c>
      <c r="AU2" s="10" t="str">
        <f t="shared" ref="AU2:AU99" si="6">if(ISNUMBER($A2), IF(AD2="Not Answered","-",AD2),)</f>
        <v>-</v>
      </c>
      <c r="AV2" s="10">
        <f>if(ISNUMBER($A2), VLOOKUP(AE2, mapping!$A$2:$B99,2,false),)</f>
        <v>6</v>
      </c>
      <c r="AW2" s="10" t="str">
        <f t="shared" ref="AW2:AW99" si="7">if(ISNUMBER($A2), IF(AF2="Not Answered","-",AF2),)</f>
        <v>-</v>
      </c>
      <c r="AX2" s="10">
        <f>if(ISNUMBER($A2), VLOOKUP(AG2, mapping!$A$2:$B99,2,false),)</f>
        <v>6</v>
      </c>
      <c r="AY2" s="10" t="str">
        <f t="shared" ref="AY2:AY99" si="8">if(ISNUMBER($A2), IF(AH2="Not Answered","-",AH2),)</f>
        <v>-</v>
      </c>
      <c r="AZ2" s="10" t="str">
        <f>if(ISNUMBER($A2), VLOOKUP(AI2, mapping!$A$2:$B99,2,false),)</f>
        <v/>
      </c>
      <c r="BA2" s="10" t="str">
        <f t="shared" ref="BA2:BA99" si="9">if(ISNUMBER($A2), IF(AJ2="Not Answered","-",AJ2),)</f>
        <v>-</v>
      </c>
      <c r="BB2" s="10">
        <f>if(ISNUMBER($A2), VLOOKUP(AK2, mapping!$A$2:$B99,2,false),)</f>
        <v>5</v>
      </c>
      <c r="BC2" s="10" t="str">
        <f t="shared" ref="BC2:BD2" si="2">if(ISNUMBER($A2), IF(AL2="Not Answered","-",AL2),)</f>
        <v>-</v>
      </c>
      <c r="BD2" s="10" t="str">
        <f t="shared" si="2"/>
        <v>-</v>
      </c>
    </row>
    <row r="3">
      <c r="A3" s="5">
        <f>IFERROR(__xludf.DUMMYFUNCTION("""COMPUTED_VALUE"""),1.14452629995E11)</f>
        <v>114452629995</v>
      </c>
      <c r="B3" s="11">
        <f>IFERROR(__xludf.DUMMYFUNCTION("""COMPUTED_VALUE"""),45232.52071759259)</f>
        <v>45232.52072</v>
      </c>
      <c r="C3" s="11">
        <f>IFERROR(__xludf.DUMMYFUNCTION("""COMPUTED_VALUE"""),45232.52803240741)</f>
        <v>45232.52803</v>
      </c>
      <c r="D3" s="5" t="str">
        <f>IFERROR(__xludf.DUMMYFUNCTION("""COMPUTED_VALUE"""),"155.55.51.185")</f>
        <v>155.55.51.185</v>
      </c>
      <c r="E3" s="5">
        <f>IFERROR(__xludf.DUMMYFUNCTION("""COMPUTED_VALUE"""),631.0)</f>
        <v>631</v>
      </c>
      <c r="F3" s="5" t="str">
        <f>IFERROR(__xludf.DUMMYFUNCTION("""COMPUTED_VALUE"""),"completed")</f>
        <v>completed</v>
      </c>
      <c r="G3" s="5" t="str">
        <f>IFERROR(__xludf.DUMMYFUNCTION("""COMPUTED_VALUE"""),"Not Answered")</f>
        <v>Not Answered</v>
      </c>
      <c r="H3" s="5" t="str">
        <f>IFERROR(__xludf.DUMMYFUNCTION("""COMPUTED_VALUE"""),"Not Answered")</f>
        <v>Not Answered</v>
      </c>
      <c r="I3" s="5" t="str">
        <f>IFERROR(__xludf.DUMMYFUNCTION("""COMPUTED_VALUE"""),"Not Answered")</f>
        <v>Not Answered</v>
      </c>
      <c r="J3" s="5">
        <f>IFERROR(__xludf.DUMMYFUNCTION("""COMPUTED_VALUE"""),4.27821263E8)</f>
        <v>427821263</v>
      </c>
      <c r="K3" s="5" t="str">
        <f>IFERROR(__xludf.DUMMYFUNCTION("""COMPUTED_VALUE"""),"weblink")</f>
        <v>weblink</v>
      </c>
      <c r="L3" s="5" t="str">
        <f>IFERROR(__xludf.DUMMYFUNCTION("""COMPUTED_VALUE"""),"Not Answered")</f>
        <v>Not Answered</v>
      </c>
      <c r="M3" s="5" t="str">
        <f>IFERROR(__xludf.DUMMYFUNCTION("""COMPUTED_VALUE"""),"Not Answered")</f>
        <v>Not Answered</v>
      </c>
      <c r="N3" s="5" t="str">
        <f>IFERROR(__xludf.DUMMYFUNCTION("""COMPUTED_VALUE"""),"NAV")</f>
        <v>NAV</v>
      </c>
      <c r="O3" s="5" t="str">
        <f>IFERROR(__xludf.DUMMYFUNCTION("""COMPUTED_VALUE"""),"Not Answered")</f>
        <v>Not Answered</v>
      </c>
      <c r="P3" s="5" t="str">
        <f>IFERROR(__xludf.DUMMYFUNCTION("""COMPUTED_VALUE"""),"Not Answered")</f>
        <v>Not Answered</v>
      </c>
      <c r="Q3" s="5" t="str">
        <f>IFERROR(__xludf.DUMMYFUNCTION("""COMPUTED_VALUE"""),"Not Answered")</f>
        <v>Not Answered</v>
      </c>
      <c r="R3" s="5" t="str">
        <f>IFERROR(__xludf.DUMMYFUNCTION("""COMPUTED_VALUE"""),"Not Answered")</f>
        <v>Not Answered</v>
      </c>
      <c r="S3" s="5" t="str">
        <f>IFERROR(__xludf.DUMMYFUNCTION("""COMPUTED_VALUE"""),"Not Answered")</f>
        <v>Not Answered</v>
      </c>
      <c r="T3" s="5" t="str">
        <f>IFERROR(__xludf.DUMMYFUNCTION("""COMPUTED_VALUE"""),"Not Answered")</f>
        <v>Not Answered</v>
      </c>
      <c r="U3" s="5" t="str">
        <f>IFERROR(__xludf.DUMMYFUNCTION("""COMPUTED_VALUE"""),"Not Answered")</f>
        <v>Not Answered</v>
      </c>
      <c r="V3" s="5" t="str">
        <f>IFERROR(__xludf.DUMMYFUNCTION("""COMPUTED_VALUE"""),"Not Answered")</f>
        <v>Not Answered</v>
      </c>
      <c r="W3" s="5" t="str">
        <f>IFERROR(__xludf.DUMMYFUNCTION("""COMPUTED_VALUE"""),"Not Answered")</f>
        <v>Not Answered</v>
      </c>
      <c r="X3" s="5" t="str">
        <f>IFERROR(__xludf.DUMMYFUNCTION("""COMPUTED_VALUE"""),"Not Answered")</f>
        <v>Not Answered</v>
      </c>
      <c r="Y3" s="5" t="str">
        <f>IFERROR(__xludf.DUMMYFUNCTION("""COMPUTED_VALUE"""),"Not Answered")</f>
        <v>Not Answered</v>
      </c>
      <c r="Z3" s="5" t="str">
        <f>IFERROR(__xludf.DUMMYFUNCTION("""COMPUTED_VALUE"""),"Ingleiv Johansen")</f>
        <v>Ingleiv Johansen</v>
      </c>
      <c r="AA3" s="5" t="str">
        <f>IFERROR(__xludf.DUMMYFUNCTION("""COMPUTED_VALUE"""),"Svært fornøyd")</f>
        <v>Svært fornøyd</v>
      </c>
      <c r="AB3" s="5" t="str">
        <f>IFERROR(__xludf.DUMMYFUNCTION("""COMPUTED_VALUE"""),"Not Answered")</f>
        <v>Not Answered</v>
      </c>
      <c r="AC3" s="5" t="str">
        <f>IFERROR(__xludf.DUMMYFUNCTION("""COMPUTED_VALUE"""),"I stor grad")</f>
        <v>I stor grad</v>
      </c>
      <c r="AD3" s="5" t="str">
        <f>IFERROR(__xludf.DUMMYFUNCTION("""COMPUTED_VALUE"""),"Not Answered")</f>
        <v>Not Answered</v>
      </c>
      <c r="AE3" s="5" t="str">
        <f>IFERROR(__xludf.DUMMYFUNCTION("""COMPUTED_VALUE"""),"Svært fornøyd")</f>
        <v>Svært fornøyd</v>
      </c>
      <c r="AF3" s="5" t="str">
        <f>IFERROR(__xludf.DUMMYFUNCTION("""COMPUTED_VALUE"""),"Opplever Ingleiv som en person som er flink til å dele generelt og opptatt av å formidle sin kompetanse på en måte som resten av teamet forstår")</f>
        <v>Opplever Ingleiv som en person som er flink til å dele generelt og opptatt av å formidle sin kompetanse på en måte som resten av teamet forstår</v>
      </c>
      <c r="AG3" s="5" t="str">
        <f>IFERROR(__xludf.DUMMYFUNCTION("""COMPUTED_VALUE"""),"Svært fornøyd")</f>
        <v>Svært fornøyd</v>
      </c>
      <c r="AH3" s="5" t="str">
        <f>IFERROR(__xludf.DUMMYFUNCTION("""COMPUTED_VALUE"""),"Ingleiv er en veldig positiv og løsningsorientert person som er lett å samarbeide med.")</f>
        <v>Ingleiv er en veldig positiv og løsningsorientert person som er lett å samarbeide med.</v>
      </c>
      <c r="AI3" s="5" t="str">
        <f>IFERROR(__xludf.DUMMYFUNCTION("""COMPUTED_VALUE"""),"Not Answered")</f>
        <v>Not Answered</v>
      </c>
      <c r="AJ3" s="5" t="str">
        <f>IFERROR(__xludf.DUMMYFUNCTION("""COMPUTED_VALUE"""),"Not Answered")</f>
        <v>Not Answered</v>
      </c>
      <c r="AK3" s="5" t="str">
        <f>IFERROR(__xludf.DUMMYFUNCTION("""COMPUTED_VALUE"""),"5 - star")</f>
        <v>5 - star</v>
      </c>
      <c r="AL3" s="5" t="str">
        <f>IFERROR(__xludf.DUMMYFUNCTION("""COMPUTED_VALUE"""),"Opplever at Ingleiv er vel verdt kostnaden.")</f>
        <v>Opplever at Ingleiv er vel verdt kostnaden.</v>
      </c>
      <c r="AM3" s="5" t="str">
        <f>IFERROR(__xludf.DUMMYFUNCTION("""COMPUTED_VALUE"""),"Not Answered")</f>
        <v>Not Answered</v>
      </c>
      <c r="AN3" s="11">
        <f t="shared" si="3"/>
        <v>45232.52072</v>
      </c>
      <c r="AO3" s="5" t="str">
        <f t="shared" si="4"/>
        <v>NAV</v>
      </c>
      <c r="AP3" s="5" t="str">
        <f>IFERROR(__xludf.DUMMYFUNCTION("if(ISNUMBER(A3),FILTER(O3:Z3,REGEXMATCH(O3:Z3, ""Not Answered"")=FALSE),)"),"Ingleiv Johansen")</f>
        <v>Ingleiv Johansen</v>
      </c>
      <c r="AQ3" s="5" t="str">
        <f>if(ISNUMBER($C3), VLOOKUP(AP3, konsulenter!$A$1:$B99,2,false),)</f>
        <v>#N/A</v>
      </c>
      <c r="AR3" s="10">
        <f>if(ISNUMBER($A3), VLOOKUP(AA3, mapping!$A$2:$B99,2,false),)</f>
        <v>6</v>
      </c>
      <c r="AS3" s="10" t="str">
        <f t="shared" si="5"/>
        <v>-</v>
      </c>
      <c r="AT3" s="10">
        <f>if(ISNUMBER($A3), VLOOKUP(AC3, mapping!$A$2:$B99,2,false),)</f>
        <v>6</v>
      </c>
      <c r="AU3" s="10" t="str">
        <f t="shared" si="6"/>
        <v>-</v>
      </c>
      <c r="AV3" s="10">
        <f>if(ISNUMBER($A3), VLOOKUP(AE3, mapping!$A$2:$B99,2,false),)</f>
        <v>6</v>
      </c>
      <c r="AW3" s="10" t="str">
        <f t="shared" si="7"/>
        <v>Opplever Ingleiv som en person som er flink til å dele generelt og opptatt av å formidle sin kompetanse på en måte som resten av teamet forstår</v>
      </c>
      <c r="AX3" s="10">
        <f>if(ISNUMBER($A3), VLOOKUP(AG3, mapping!$A$2:$B99,2,false),)</f>
        <v>6</v>
      </c>
      <c r="AY3" s="10" t="str">
        <f t="shared" si="8"/>
        <v>Ingleiv er en veldig positiv og løsningsorientert person som er lett å samarbeide med.</v>
      </c>
      <c r="AZ3" s="10" t="str">
        <f>if(ISNUMBER($A3), VLOOKUP(AI3, mapping!$A$2:$B99,2,false),)</f>
        <v/>
      </c>
      <c r="BA3" s="10" t="str">
        <f t="shared" si="9"/>
        <v>-</v>
      </c>
      <c r="BB3" s="10">
        <f>if(ISNUMBER($A3), VLOOKUP(AK3, mapping!$A$2:$B99,2,false),)</f>
        <v>5</v>
      </c>
      <c r="BC3" s="10" t="str">
        <f t="shared" ref="BC3:BD3" si="10">if(ISNUMBER($A3), IF(AL3="Not Answered","-",AL3),)</f>
        <v>Opplever at Ingleiv er vel verdt kostnaden.</v>
      </c>
      <c r="BD3" s="10" t="str">
        <f t="shared" si="10"/>
        <v>-</v>
      </c>
    </row>
    <row r="4">
      <c r="A4" s="5">
        <f>IFERROR(__xludf.DUMMYFUNCTION("""COMPUTED_VALUE"""),1.14455711454E11)</f>
        <v>114455711454</v>
      </c>
      <c r="B4" s="11">
        <f>IFERROR(__xludf.DUMMYFUNCTION("""COMPUTED_VALUE"""),45236.327465277776)</f>
        <v>45236.32747</v>
      </c>
      <c r="C4" s="11">
        <f>IFERROR(__xludf.DUMMYFUNCTION("""COMPUTED_VALUE"""),45236.33990740741)</f>
        <v>45236.33991</v>
      </c>
      <c r="D4" s="5" t="str">
        <f>IFERROR(__xludf.DUMMYFUNCTION("""COMPUTED_VALUE"""),"155.55.51.185")</f>
        <v>155.55.51.185</v>
      </c>
      <c r="E4" s="5">
        <f>IFERROR(__xludf.DUMMYFUNCTION("""COMPUTED_VALUE"""),1075.0)</f>
        <v>1075</v>
      </c>
      <c r="F4" s="5" t="str">
        <f>IFERROR(__xludf.DUMMYFUNCTION("""COMPUTED_VALUE"""),"completed")</f>
        <v>completed</v>
      </c>
      <c r="G4" s="5" t="str">
        <f>IFERROR(__xludf.DUMMYFUNCTION("""COMPUTED_VALUE"""),"Not Answered")</f>
        <v>Not Answered</v>
      </c>
      <c r="H4" s="5" t="str">
        <f>IFERROR(__xludf.DUMMYFUNCTION("""COMPUTED_VALUE"""),"Not Answered")</f>
        <v>Not Answered</v>
      </c>
      <c r="I4" s="5" t="str">
        <f>IFERROR(__xludf.DUMMYFUNCTION("""COMPUTED_VALUE"""),"Not Answered")</f>
        <v>Not Answered</v>
      </c>
      <c r="J4" s="5">
        <f>IFERROR(__xludf.DUMMYFUNCTION("""COMPUTED_VALUE"""),4.27821263E8)</f>
        <v>427821263</v>
      </c>
      <c r="K4" s="5" t="str">
        <f>IFERROR(__xludf.DUMMYFUNCTION("""COMPUTED_VALUE"""),"weblink")</f>
        <v>weblink</v>
      </c>
      <c r="L4" s="5" t="str">
        <f>IFERROR(__xludf.DUMMYFUNCTION("""COMPUTED_VALUE"""),"Not Answered")</f>
        <v>Not Answered</v>
      </c>
      <c r="M4" s="5" t="str">
        <f>IFERROR(__xludf.DUMMYFUNCTION("""COMPUTED_VALUE"""),"Not Answered")</f>
        <v>Not Answered</v>
      </c>
      <c r="N4" s="5" t="str">
        <f>IFERROR(__xludf.DUMMYFUNCTION("""COMPUTED_VALUE"""),"NAV")</f>
        <v>NAV</v>
      </c>
      <c r="O4" s="5" t="str">
        <f>IFERROR(__xludf.DUMMYFUNCTION("""COMPUTED_VALUE"""),"Not Answered")</f>
        <v>Not Answered</v>
      </c>
      <c r="P4" s="5" t="str">
        <f>IFERROR(__xludf.DUMMYFUNCTION("""COMPUTED_VALUE"""),"Not Answered")</f>
        <v>Not Answered</v>
      </c>
      <c r="Q4" s="5" t="str">
        <f>IFERROR(__xludf.DUMMYFUNCTION("""COMPUTED_VALUE"""),"Not Answered")</f>
        <v>Not Answered</v>
      </c>
      <c r="R4" s="5" t="str">
        <f>IFERROR(__xludf.DUMMYFUNCTION("""COMPUTED_VALUE"""),"Not Answered")</f>
        <v>Not Answered</v>
      </c>
      <c r="S4" s="5" t="str">
        <f>IFERROR(__xludf.DUMMYFUNCTION("""COMPUTED_VALUE"""),"Not Answered")</f>
        <v>Not Answered</v>
      </c>
      <c r="T4" s="5" t="str">
        <f>IFERROR(__xludf.DUMMYFUNCTION("""COMPUTED_VALUE"""),"Not Answered")</f>
        <v>Not Answered</v>
      </c>
      <c r="U4" s="5" t="str">
        <f>IFERROR(__xludf.DUMMYFUNCTION("""COMPUTED_VALUE"""),"Not Answered")</f>
        <v>Not Answered</v>
      </c>
      <c r="V4" s="5" t="str">
        <f>IFERROR(__xludf.DUMMYFUNCTION("""COMPUTED_VALUE"""),"Not Answered")</f>
        <v>Not Answered</v>
      </c>
      <c r="W4" s="5" t="str">
        <f>IFERROR(__xludf.DUMMYFUNCTION("""COMPUTED_VALUE"""),"Not Answered")</f>
        <v>Not Answered</v>
      </c>
      <c r="X4" s="5" t="str">
        <f>IFERROR(__xludf.DUMMYFUNCTION("""COMPUTED_VALUE"""),"Not Answered")</f>
        <v>Not Answered</v>
      </c>
      <c r="Y4" s="5" t="str">
        <f>IFERROR(__xludf.DUMMYFUNCTION("""COMPUTED_VALUE"""),"Not Answered")</f>
        <v>Not Answered</v>
      </c>
      <c r="Z4" s="5" t="str">
        <f>IFERROR(__xludf.DUMMYFUNCTION("""COMPUTED_VALUE"""),"Espen Schei")</f>
        <v>Espen Schei</v>
      </c>
      <c r="AA4" s="5" t="str">
        <f>IFERROR(__xludf.DUMMYFUNCTION("""COMPUTED_VALUE"""),"Svært fornøyd")</f>
        <v>Svært fornøyd</v>
      </c>
      <c r="AB4" s="5" t="str">
        <f>IFERROR(__xludf.DUMMYFUNCTION("""COMPUTED_VALUE"""),"Espen utfører arbeidet på en svært god måte. Han er fremoverlent, løsningsorientert, proaktiv og ikke minst, leverer svært høy kvalitet. Han er en viktig driver i teamet og en viktig nøkkelperson for mange av våre problemstillinger. ")</f>
        <v>Espen utfører arbeidet på en svært god måte. Han er fremoverlent, løsningsorientert, proaktiv og ikke minst, leverer svært høy kvalitet. Han er en viktig driver i teamet og en viktig nøkkelperson for mange av våre problemstillinger. </v>
      </c>
      <c r="AC4" s="5" t="str">
        <f>IFERROR(__xludf.DUMMYFUNCTION("""COMPUTED_VALUE"""),"I stor grad")</f>
        <v>I stor grad</v>
      </c>
      <c r="AD4" s="5" t="str">
        <f>IFERROR(__xludf.DUMMYFUNCTION("""COMPUTED_VALUE"""),"Jeg opplever at han har kompetansen vi trenger for at han skal utføre oppdraget, og de riktige egenskapene til å sette seg inn i bredden og kompleksiteten i faget vi har som oppdrag å levere på. ")</f>
        <v>Jeg opplever at han har kompetansen vi trenger for at han skal utføre oppdraget, og de riktige egenskapene til å sette seg inn i bredden og kompleksiteten i faget vi har som oppdrag å levere på. </v>
      </c>
      <c r="AE4" s="5" t="str">
        <f>IFERROR(__xludf.DUMMYFUNCTION("""COMPUTED_VALUE"""),"Svært fornøyd")</f>
        <v>Svært fornøyd</v>
      </c>
      <c r="AF4" s="5" t="str">
        <f>IFERROR(__xludf.DUMMYFUNCTION("""COMPUTED_VALUE"""),"Jeg opplever at Espen deler, diskuter og reflekterer godt over valgt om løsninger og deler det aktivt med teamet. ")</f>
        <v>Jeg opplever at Espen deler, diskuter og reflekterer godt over valgt om løsninger og deler det aktivt med teamet. </v>
      </c>
      <c r="AG4" s="5" t="str">
        <f>IFERROR(__xludf.DUMMYFUNCTION("""COMPUTED_VALUE"""),"Svært fornøyd")</f>
        <v>Svært fornøyd</v>
      </c>
      <c r="AH4" s="5" t="str">
        <f>IFERROR(__xludf.DUMMYFUNCTION("""COMPUTED_VALUE"""),"Jeg opplever at vi har en god og åpen dialog, og at samarbeidet fungerer godt. Espen er enkel å prate med og gjør seg noen gode betrakninger når vi diskuterer arbeidet. ")</f>
        <v>Jeg opplever at vi har en god og åpen dialog, og at samarbeidet fungerer godt. Espen er enkel å prate med og gjør seg noen gode betrakninger når vi diskuterer arbeidet. </v>
      </c>
      <c r="AI4" s="5" t="str">
        <f>IFERROR(__xludf.DUMMYFUNCTION("""COMPUTED_VALUE"""),"Not Answered")</f>
        <v>Not Answered</v>
      </c>
      <c r="AJ4" s="5" t="str">
        <f>IFERROR(__xludf.DUMMYFUNCTION("""COMPUTED_VALUE"""),"Not Answered")</f>
        <v>Not Answered</v>
      </c>
      <c r="AK4" s="5" t="str">
        <f>IFERROR(__xludf.DUMMYFUNCTION("""COMPUTED_VALUE"""),"I stor grad")</f>
        <v>I stor grad</v>
      </c>
      <c r="AL4" s="5" t="str">
        <f>IFERROR(__xludf.DUMMYFUNCTION("""COMPUTED_VALUE"""),"Espen er en av våre viktigste pådrivere og har bidratt utrolig mye for at vi skal komme i mål med oppdraget (reform) vårt innen deadline. ")</f>
        <v>Espen er en av våre viktigste pådrivere og har bidratt utrolig mye for at vi skal komme i mål med oppdraget (reform) vårt innen deadline. </v>
      </c>
      <c r="AM4" s="5" t="str">
        <f>IFERROR(__xludf.DUMMYFUNCTION("""COMPUTED_VALUE"""),"Not Answered")</f>
        <v>Not Answered</v>
      </c>
      <c r="AN4" s="11">
        <f t="shared" si="3"/>
        <v>45236.32747</v>
      </c>
      <c r="AO4" s="5" t="str">
        <f t="shared" si="4"/>
        <v>NAV</v>
      </c>
      <c r="AP4" s="5" t="str">
        <f>IFERROR(__xludf.DUMMYFUNCTION("if(ISNUMBER(A4),FILTER(O4:Z4,REGEXMATCH(O4:Z4, ""Not Answered"")=FALSE),)"),"Espen Schei")</f>
        <v>Espen Schei</v>
      </c>
      <c r="AQ4" s="5" t="str">
        <f>if(ISNUMBER($C4), VLOOKUP(AP4, konsulenter!$A$1:$B99,2,false),)</f>
        <v>#N/A</v>
      </c>
      <c r="AR4" s="10">
        <f>if(ISNUMBER($A4), VLOOKUP(AA4, mapping!$A$2:$B99,2,false),)</f>
        <v>6</v>
      </c>
      <c r="AS4" s="10" t="str">
        <f t="shared" si="5"/>
        <v>Espen utfører arbeidet på en svært god måte. Han er fremoverlent, løsningsorientert, proaktiv og ikke minst, leverer svært høy kvalitet. Han er en viktig driver i teamet og en viktig nøkkelperson for mange av våre problemstillinger. </v>
      </c>
      <c r="AT4" s="10">
        <f>if(ISNUMBER($A4), VLOOKUP(AC4, mapping!$A$2:$B99,2,false),)</f>
        <v>6</v>
      </c>
      <c r="AU4" s="10" t="str">
        <f t="shared" si="6"/>
        <v>Jeg opplever at han har kompetansen vi trenger for at han skal utføre oppdraget, og de riktige egenskapene til å sette seg inn i bredden og kompleksiteten i faget vi har som oppdrag å levere på. </v>
      </c>
      <c r="AV4" s="10">
        <f>if(ISNUMBER($A4), VLOOKUP(AE4, mapping!$A$2:$B99,2,false),)</f>
        <v>6</v>
      </c>
      <c r="AW4" s="10" t="str">
        <f t="shared" si="7"/>
        <v>Jeg opplever at Espen deler, diskuter og reflekterer godt over valgt om løsninger og deler det aktivt med teamet. </v>
      </c>
      <c r="AX4" s="10">
        <f>if(ISNUMBER($A4), VLOOKUP(AG4, mapping!$A$2:$B99,2,false),)</f>
        <v>6</v>
      </c>
      <c r="AY4" s="10" t="str">
        <f t="shared" si="8"/>
        <v>Jeg opplever at vi har en god og åpen dialog, og at samarbeidet fungerer godt. Espen er enkel å prate med og gjør seg noen gode betrakninger når vi diskuterer arbeidet. </v>
      </c>
      <c r="AZ4" s="10" t="str">
        <f>if(ISNUMBER($A4), VLOOKUP(AI4, mapping!$A$2:$B99,2,false),)</f>
        <v/>
      </c>
      <c r="BA4" s="10" t="str">
        <f t="shared" si="9"/>
        <v>-</v>
      </c>
      <c r="BB4" s="10">
        <f>if(ISNUMBER($A4), VLOOKUP(AK4, mapping!$A$2:$B99,2,false),)</f>
        <v>6</v>
      </c>
      <c r="BC4" s="10" t="str">
        <f t="shared" ref="BC4:BD4" si="11">if(ISNUMBER($A4), IF(AL4="Not Answered","-",AL4),)</f>
        <v>Espen er en av våre viktigste pådrivere og har bidratt utrolig mye for at vi skal komme i mål med oppdraget (reform) vårt innen deadline. </v>
      </c>
      <c r="BD4" s="10" t="str">
        <f t="shared" si="11"/>
        <v>-</v>
      </c>
    </row>
    <row r="5">
      <c r="A5" s="5">
        <f>IFERROR(__xludf.DUMMYFUNCTION("""COMPUTED_VALUE"""),1.1445798783E11)</f>
        <v>114457987830</v>
      </c>
      <c r="B5" s="11">
        <f>IFERROR(__xludf.DUMMYFUNCTION("""COMPUTED_VALUE"""),45238.426250000004)</f>
        <v>45238.42625</v>
      </c>
      <c r="C5" s="11">
        <f>IFERROR(__xludf.DUMMYFUNCTION("""COMPUTED_VALUE"""),45238.44096064815)</f>
        <v>45238.44096</v>
      </c>
      <c r="D5" s="5" t="str">
        <f>IFERROR(__xludf.DUMMYFUNCTION("""COMPUTED_VALUE"""),"84.214.218.29")</f>
        <v>84.214.218.29</v>
      </c>
      <c r="E5" s="5">
        <f>IFERROR(__xludf.DUMMYFUNCTION("""COMPUTED_VALUE"""),1270.0)</f>
        <v>1270</v>
      </c>
      <c r="F5" s="5" t="str">
        <f>IFERROR(__xludf.DUMMYFUNCTION("""COMPUTED_VALUE"""),"completed")</f>
        <v>completed</v>
      </c>
      <c r="G5" s="5" t="str">
        <f>IFERROR(__xludf.DUMMYFUNCTION("""COMPUTED_VALUE"""),"Not Answered")</f>
        <v>Not Answered</v>
      </c>
      <c r="H5" s="5" t="str">
        <f>IFERROR(__xludf.DUMMYFUNCTION("""COMPUTED_VALUE"""),"Not Answered")</f>
        <v>Not Answered</v>
      </c>
      <c r="I5" s="5" t="str">
        <f>IFERROR(__xludf.DUMMYFUNCTION("""COMPUTED_VALUE"""),"Not Answered")</f>
        <v>Not Answered</v>
      </c>
      <c r="J5" s="5">
        <f>IFERROR(__xludf.DUMMYFUNCTION("""COMPUTED_VALUE"""),4.27821263E8)</f>
        <v>427821263</v>
      </c>
      <c r="K5" s="5" t="str">
        <f>IFERROR(__xludf.DUMMYFUNCTION("""COMPUTED_VALUE"""),"weblink")</f>
        <v>weblink</v>
      </c>
      <c r="L5" s="5" t="str">
        <f>IFERROR(__xludf.DUMMYFUNCTION("""COMPUTED_VALUE"""),"Not Answered")</f>
        <v>Not Answered</v>
      </c>
      <c r="M5" s="5" t="str">
        <f>IFERROR(__xludf.DUMMYFUNCTION("""COMPUTED_VALUE"""),"Not Answered")</f>
        <v>Not Answered</v>
      </c>
      <c r="N5" s="5" t="str">
        <f>IFERROR(__xludf.DUMMYFUNCTION("""COMPUTED_VALUE"""),"NAV")</f>
        <v>NAV</v>
      </c>
      <c r="O5" s="5" t="str">
        <f>IFERROR(__xludf.DUMMYFUNCTION("""COMPUTED_VALUE"""),"Not Answered")</f>
        <v>Not Answered</v>
      </c>
      <c r="P5" s="5" t="str">
        <f>IFERROR(__xludf.DUMMYFUNCTION("""COMPUTED_VALUE"""),"Not Answered")</f>
        <v>Not Answered</v>
      </c>
      <c r="Q5" s="5" t="str">
        <f>IFERROR(__xludf.DUMMYFUNCTION("""COMPUTED_VALUE"""),"Not Answered")</f>
        <v>Not Answered</v>
      </c>
      <c r="R5" s="5" t="str">
        <f>IFERROR(__xludf.DUMMYFUNCTION("""COMPUTED_VALUE"""),"Not Answered")</f>
        <v>Not Answered</v>
      </c>
      <c r="S5" s="5" t="str">
        <f>IFERROR(__xludf.DUMMYFUNCTION("""COMPUTED_VALUE"""),"Not Answered")</f>
        <v>Not Answered</v>
      </c>
      <c r="T5" s="5" t="str">
        <f>IFERROR(__xludf.DUMMYFUNCTION("""COMPUTED_VALUE"""),"Not Answered")</f>
        <v>Not Answered</v>
      </c>
      <c r="U5" s="5" t="str">
        <f>IFERROR(__xludf.DUMMYFUNCTION("""COMPUTED_VALUE"""),"Not Answered")</f>
        <v>Not Answered</v>
      </c>
      <c r="V5" s="5" t="str">
        <f>IFERROR(__xludf.DUMMYFUNCTION("""COMPUTED_VALUE"""),"Not Answered")</f>
        <v>Not Answered</v>
      </c>
      <c r="W5" s="5" t="str">
        <f>IFERROR(__xludf.DUMMYFUNCTION("""COMPUTED_VALUE"""),"Not Answered")</f>
        <v>Not Answered</v>
      </c>
      <c r="X5" s="5" t="str">
        <f>IFERROR(__xludf.DUMMYFUNCTION("""COMPUTED_VALUE"""),"Not Answered")</f>
        <v>Not Answered</v>
      </c>
      <c r="Y5" s="5" t="str">
        <f>IFERROR(__xludf.DUMMYFUNCTION("""COMPUTED_VALUE"""),"Not Answered")</f>
        <v>Not Answered</v>
      </c>
      <c r="Z5" s="5" t="str">
        <f>IFERROR(__xludf.DUMMYFUNCTION("""COMPUTED_VALUE"""),"Anton Fofanov")</f>
        <v>Anton Fofanov</v>
      </c>
      <c r="AA5" s="5" t="str">
        <f>IFERROR(__xludf.DUMMYFUNCTION("""COMPUTED_VALUE"""),"Svært fornøyd")</f>
        <v>Svært fornøyd</v>
      </c>
      <c r="AB5" s="5" t="str">
        <f>IFERROR(__xludf.DUMMYFUNCTION("""COMPUTED_VALUE"""),"Not Answered")</f>
        <v>Not Answered</v>
      </c>
      <c r="AC5" s="5" t="str">
        <f>IFERROR(__xludf.DUMMYFUNCTION("""COMPUTED_VALUE"""),"I stor grad")</f>
        <v>I stor grad</v>
      </c>
      <c r="AD5" s="5" t="str">
        <f>IFERROR(__xludf.DUMMYFUNCTION("""COMPUTED_VALUE"""),"Anton har god kompetanse og leverer godt på alle områder. Hvis han får en vanskelig problemstilling så er han god på å tilegne seg kompetanse på teknologien og domenet og får arbeidet godt utført.")</f>
        <v>Anton har god kompetanse og leverer godt på alle områder. Hvis han får en vanskelig problemstilling så er han god på å tilegne seg kompetanse på teknologien og domenet og får arbeidet godt utført.</v>
      </c>
      <c r="AE5" s="5" t="str">
        <f>IFERROR(__xludf.DUMMYFUNCTION("""COMPUTED_VALUE"""),"Ganske fornøyd ")</f>
        <v>Ganske fornøyd </v>
      </c>
      <c r="AF5" s="5" t="str">
        <f>IFERROR(__xludf.DUMMYFUNCTION("""COMPUTED_VALUE"""),"Anton er god på å diskutere samt dele kompetanse i sitt team og i organisasjonen.")</f>
        <v>Anton er god på å diskutere samt dele kompetanse i sitt team og i organisasjonen.</v>
      </c>
      <c r="AG5" s="5" t="str">
        <f>IFERROR(__xludf.DUMMYFUNCTION("""COMPUTED_VALUE"""),"Svært fornøyd")</f>
        <v>Svært fornøyd</v>
      </c>
      <c r="AH5" s="5" t="str">
        <f>IFERROR(__xludf.DUMMYFUNCTION("""COMPUTED_VALUE"""),"Not Answered")</f>
        <v>Not Answered</v>
      </c>
      <c r="AI5" s="5" t="str">
        <f>IFERROR(__xludf.DUMMYFUNCTION("""COMPUTED_VALUE"""),"Not Answered")</f>
        <v>Not Answered</v>
      </c>
      <c r="AJ5" s="5" t="str">
        <f>IFERROR(__xludf.DUMMYFUNCTION("""COMPUTED_VALUE"""),"Not Answered")</f>
        <v>Not Answered</v>
      </c>
      <c r="AK5" s="5" t="str">
        <f>IFERROR(__xludf.DUMMYFUNCTION("""COMPUTED_VALUE"""),"5 - star")</f>
        <v>5 - star</v>
      </c>
      <c r="AL5" s="5" t="str">
        <f>IFERROR(__xludf.DUMMYFUNCTION("""COMPUTED_VALUE"""),"Konsulenter er dyrt, men Anton har levert godt på alle arbeidsoppgaver han har fått.")</f>
        <v>Konsulenter er dyrt, men Anton har levert godt på alle arbeidsoppgaver han har fått.</v>
      </c>
      <c r="AM5" s="5" t="str">
        <f>IFERROR(__xludf.DUMMYFUNCTION("""COMPUTED_VALUE"""),"Not Answered")</f>
        <v>Not Answered</v>
      </c>
      <c r="AN5" s="11">
        <f t="shared" si="3"/>
        <v>45238.42625</v>
      </c>
      <c r="AO5" s="5" t="str">
        <f t="shared" si="4"/>
        <v>NAV</v>
      </c>
      <c r="AP5" s="5" t="str">
        <f>IFERROR(__xludf.DUMMYFUNCTION("if(ISNUMBER(A5),FILTER(O5:Z5,REGEXMATCH(O5:Z5, ""Not Answered"")=FALSE),)"),"Anton Fofanov")</f>
        <v>Anton Fofanov</v>
      </c>
      <c r="AQ5" s="5" t="str">
        <f>if(ISNUMBER($C5), VLOOKUP(AP5, konsulenter!$A$1:$B99,2,false),)</f>
        <v>#N/A</v>
      </c>
      <c r="AR5" s="10">
        <f>if(ISNUMBER($A5), VLOOKUP(AA5, mapping!$A$2:$B99,2,false),)</f>
        <v>6</v>
      </c>
      <c r="AS5" s="10" t="str">
        <f t="shared" si="5"/>
        <v>-</v>
      </c>
      <c r="AT5" s="10">
        <f>if(ISNUMBER($A5), VLOOKUP(AC5, mapping!$A$2:$B99,2,false),)</f>
        <v>6</v>
      </c>
      <c r="AU5" s="10" t="str">
        <f t="shared" si="6"/>
        <v>Anton har god kompetanse og leverer godt på alle områder. Hvis han får en vanskelig problemstilling så er han god på å tilegne seg kompetanse på teknologien og domenet og får arbeidet godt utført.</v>
      </c>
      <c r="AV5" s="10">
        <f>if(ISNUMBER($A5), VLOOKUP(AE5, mapping!$A$2:$B99,2,false),)</f>
        <v>5</v>
      </c>
      <c r="AW5" s="10" t="str">
        <f t="shared" si="7"/>
        <v>Anton er god på å diskutere samt dele kompetanse i sitt team og i organisasjonen.</v>
      </c>
      <c r="AX5" s="10">
        <f>if(ISNUMBER($A5), VLOOKUP(AG5, mapping!$A$2:$B99,2,false),)</f>
        <v>6</v>
      </c>
      <c r="AY5" s="10" t="str">
        <f t="shared" si="8"/>
        <v>-</v>
      </c>
      <c r="AZ5" s="10" t="str">
        <f>if(ISNUMBER($A5), VLOOKUP(AI5, mapping!$A$2:$B99,2,false),)</f>
        <v/>
      </c>
      <c r="BA5" s="10" t="str">
        <f t="shared" si="9"/>
        <v>-</v>
      </c>
      <c r="BB5" s="10">
        <f>if(ISNUMBER($A5), VLOOKUP(AK5, mapping!$A$2:$B99,2,false),)</f>
        <v>5</v>
      </c>
      <c r="BC5" s="10" t="str">
        <f t="shared" ref="BC5:BD5" si="12">if(ISNUMBER($A5), IF(AL5="Not Answered","-",AL5),)</f>
        <v>Konsulenter er dyrt, men Anton har levert godt på alle arbeidsoppgaver han har fått.</v>
      </c>
      <c r="BD5" s="10" t="str">
        <f t="shared" si="12"/>
        <v>-</v>
      </c>
    </row>
    <row r="6">
      <c r="A6" s="5">
        <f>IFERROR(__xludf.DUMMYFUNCTION("""COMPUTED_VALUE"""),1.14432085003E11)</f>
        <v>114432085003</v>
      </c>
      <c r="B6" s="11">
        <f>IFERROR(__xludf.DUMMYFUNCTION("""COMPUTED_VALUE"""),45208.51293981481)</f>
        <v>45208.51294</v>
      </c>
      <c r="C6" s="11">
        <f>IFERROR(__xludf.DUMMYFUNCTION("""COMPUTED_VALUE"""),45208.51435185185)</f>
        <v>45208.51435</v>
      </c>
      <c r="D6" s="5" t="str">
        <f>IFERROR(__xludf.DUMMYFUNCTION("""COMPUTED_VALUE"""),"195.18.187.144")</f>
        <v>195.18.187.144</v>
      </c>
      <c r="E6" s="5">
        <f>IFERROR(__xludf.DUMMYFUNCTION("""COMPUTED_VALUE"""),122.0)</f>
        <v>122</v>
      </c>
      <c r="F6" s="5" t="str">
        <f>IFERROR(__xludf.DUMMYFUNCTION("""COMPUTED_VALUE"""),"completed")</f>
        <v>completed</v>
      </c>
      <c r="G6" s="5" t="str">
        <f>IFERROR(__xludf.DUMMYFUNCTION("""COMPUTED_VALUE"""),"Not Answered")</f>
        <v>Not Answered</v>
      </c>
      <c r="H6" s="5" t="str">
        <f>IFERROR(__xludf.DUMMYFUNCTION("""COMPUTED_VALUE"""),"Not Answered")</f>
        <v>Not Answered</v>
      </c>
      <c r="I6" s="5" t="str">
        <f>IFERROR(__xludf.DUMMYFUNCTION("""COMPUTED_VALUE"""),"Not Answered")</f>
        <v>Not Answered</v>
      </c>
      <c r="J6" s="5">
        <f>IFERROR(__xludf.DUMMYFUNCTION("""COMPUTED_VALUE"""),4.27944757E8)</f>
        <v>427944757</v>
      </c>
      <c r="K6" s="5" t="str">
        <f>IFERROR(__xludf.DUMMYFUNCTION("""COMPUTED_VALUE"""),"weblink")</f>
        <v>weblink</v>
      </c>
      <c r="L6" s="5" t="str">
        <f>IFERROR(__xludf.DUMMYFUNCTION("""COMPUTED_VALUE"""),"Not Answered")</f>
        <v>Not Answered</v>
      </c>
      <c r="M6" s="5" t="str">
        <f>IFERROR(__xludf.DUMMYFUNCTION("""COMPUTED_VALUE"""),"Not Answered")</f>
        <v>Not Answered</v>
      </c>
      <c r="N6" s="5" t="str">
        <f>IFERROR(__xludf.DUMMYFUNCTION("""COMPUTED_VALUE"""),"Statnett")</f>
        <v>Statnett</v>
      </c>
      <c r="O6" s="5" t="str">
        <f>IFERROR(__xludf.DUMMYFUNCTION("""COMPUTED_VALUE"""),"Not Answered")</f>
        <v>Not Answered</v>
      </c>
      <c r="P6" s="5" t="str">
        <f>IFERROR(__xludf.DUMMYFUNCTION("""COMPUTED_VALUE"""),"Dejan Maric")</f>
        <v>Dejan Maric</v>
      </c>
      <c r="Q6" s="5" t="str">
        <f>IFERROR(__xludf.DUMMYFUNCTION("""COMPUTED_VALUE"""),"Not Answered")</f>
        <v>Not Answered</v>
      </c>
      <c r="R6" s="5" t="str">
        <f>IFERROR(__xludf.DUMMYFUNCTION("""COMPUTED_VALUE"""),"Not Answered")</f>
        <v>Not Answered</v>
      </c>
      <c r="S6" s="5" t="str">
        <f>IFERROR(__xludf.DUMMYFUNCTION("""COMPUTED_VALUE"""),"Not Answered")</f>
        <v>Not Answered</v>
      </c>
      <c r="T6" s="5" t="str">
        <f>IFERROR(__xludf.DUMMYFUNCTION("""COMPUTED_VALUE"""),"Not Answered")</f>
        <v>Not Answered</v>
      </c>
      <c r="U6" s="5" t="str">
        <f>IFERROR(__xludf.DUMMYFUNCTION("""COMPUTED_VALUE"""),"Not Answered")</f>
        <v>Not Answered</v>
      </c>
      <c r="V6" s="5" t="str">
        <f>IFERROR(__xludf.DUMMYFUNCTION("""COMPUTED_VALUE"""),"Not Answered")</f>
        <v>Not Answered</v>
      </c>
      <c r="W6" s="5" t="str">
        <f>IFERROR(__xludf.DUMMYFUNCTION("""COMPUTED_VALUE"""),"Not Answered")</f>
        <v>Not Answered</v>
      </c>
      <c r="X6" s="5" t="str">
        <f>IFERROR(__xludf.DUMMYFUNCTION("""COMPUTED_VALUE"""),"Not Answered")</f>
        <v>Not Answered</v>
      </c>
      <c r="Y6" s="5" t="str">
        <f>IFERROR(__xludf.DUMMYFUNCTION("""COMPUTED_VALUE"""),"Not Answered")</f>
        <v>Not Answered</v>
      </c>
      <c r="Z6" s="5" t="str">
        <f>IFERROR(__xludf.DUMMYFUNCTION("""COMPUTED_VALUE"""),"Not Answered")</f>
        <v>Not Answered</v>
      </c>
      <c r="AA6" s="5" t="str">
        <f>IFERROR(__xludf.DUMMYFUNCTION("""COMPUTED_VALUE"""),"Svært fornøyd")</f>
        <v>Svært fornøyd</v>
      </c>
      <c r="AB6" s="5" t="str">
        <f>IFERROR(__xludf.DUMMYFUNCTION("""COMPUTED_VALUE"""),"Not Answered")</f>
        <v>Not Answered</v>
      </c>
      <c r="AC6" s="5" t="str">
        <f>IFERROR(__xludf.DUMMYFUNCTION("""COMPUTED_VALUE"""),"I stor grad")</f>
        <v>I stor grad</v>
      </c>
      <c r="AD6" s="5" t="str">
        <f>IFERROR(__xludf.DUMMYFUNCTION("""COMPUTED_VALUE"""),"Not Answered")</f>
        <v>Not Answered</v>
      </c>
      <c r="AE6" s="5" t="str">
        <f>IFERROR(__xludf.DUMMYFUNCTION("""COMPUTED_VALUE"""),"Svært fornøyd")</f>
        <v>Svært fornøyd</v>
      </c>
      <c r="AF6" s="5" t="str">
        <f>IFERROR(__xludf.DUMMYFUNCTION("""COMPUTED_VALUE"""),"Not Answered")</f>
        <v>Not Answered</v>
      </c>
      <c r="AG6" s="5" t="str">
        <f>IFERROR(__xludf.DUMMYFUNCTION("""COMPUTED_VALUE"""),"Svært fornøyd")</f>
        <v>Svært fornøyd</v>
      </c>
      <c r="AH6" s="5" t="str">
        <f>IFERROR(__xludf.DUMMYFUNCTION("""COMPUTED_VALUE"""),"Not Answered")</f>
        <v>Not Answered</v>
      </c>
      <c r="AI6" s="5" t="str">
        <f>IFERROR(__xludf.DUMMYFUNCTION("""COMPUTED_VALUE"""),"Not Answered")</f>
        <v>Not Answered</v>
      </c>
      <c r="AJ6" s="5" t="str">
        <f>IFERROR(__xludf.DUMMYFUNCTION("""COMPUTED_VALUE"""),"Not Answered")</f>
        <v>Not Answered</v>
      </c>
      <c r="AK6" s="5" t="str">
        <f>IFERROR(__xludf.DUMMYFUNCTION("""COMPUTED_VALUE"""),"5 - star")</f>
        <v>5 - star</v>
      </c>
      <c r="AL6" s="5" t="str">
        <f>IFERROR(__xludf.DUMMYFUNCTION("""COMPUTED_VALUE"""),"Not Answered")</f>
        <v>Not Answered</v>
      </c>
      <c r="AM6" s="5" t="str">
        <f>IFERROR(__xludf.DUMMYFUNCTION("""COMPUTED_VALUE"""),"Not Answered")</f>
        <v>Not Answered</v>
      </c>
      <c r="AN6" s="11">
        <f t="shared" si="3"/>
        <v>45208.51294</v>
      </c>
      <c r="AO6" s="5" t="str">
        <f t="shared" si="4"/>
        <v>Statnett</v>
      </c>
      <c r="AP6" s="5" t="str">
        <f>IFERROR(__xludf.DUMMYFUNCTION("if(ISNUMBER(A6),FILTER(O6:Z6,REGEXMATCH(O6:Z6, ""Not Answered"")=FALSE),)"),"Dejan Maric")</f>
        <v>Dejan Maric</v>
      </c>
      <c r="AQ6" s="5" t="str">
        <f>if(ISNUMBER($C6), VLOOKUP(AP6, konsulenter!$A$1:$B99,2,false),)</f>
        <v>#N/A</v>
      </c>
      <c r="AR6" s="10">
        <f>if(ISNUMBER($A6), VLOOKUP(AA6, mapping!$A$2:$B99,2,false),)</f>
        <v>6</v>
      </c>
      <c r="AS6" s="10" t="str">
        <f t="shared" si="5"/>
        <v>-</v>
      </c>
      <c r="AT6" s="10">
        <f>if(ISNUMBER($A6), VLOOKUP(AC6, mapping!$A$2:$B99,2,false),)</f>
        <v>6</v>
      </c>
      <c r="AU6" s="10" t="str">
        <f t="shared" si="6"/>
        <v>-</v>
      </c>
      <c r="AV6" s="10">
        <f>if(ISNUMBER($A6), VLOOKUP(AE6, mapping!$A$2:$B99,2,false),)</f>
        <v>6</v>
      </c>
      <c r="AW6" s="10" t="str">
        <f t="shared" si="7"/>
        <v>-</v>
      </c>
      <c r="AX6" s="10">
        <f>if(ISNUMBER($A6), VLOOKUP(AG6, mapping!$A$2:$B99,2,false),)</f>
        <v>6</v>
      </c>
      <c r="AY6" s="10" t="str">
        <f t="shared" si="8"/>
        <v>-</v>
      </c>
      <c r="AZ6" s="10" t="str">
        <f>if(ISNUMBER($A6), VLOOKUP(AI6, mapping!$A$2:$B99,2,false),)</f>
        <v/>
      </c>
      <c r="BA6" s="10" t="str">
        <f t="shared" si="9"/>
        <v>-</v>
      </c>
      <c r="BB6" s="10">
        <f>if(ISNUMBER($A6), VLOOKUP(AK6, mapping!$A$2:$B99,2,false),)</f>
        <v>5</v>
      </c>
      <c r="BC6" s="10" t="str">
        <f t="shared" ref="BC6:BD6" si="13">if(ISNUMBER($A6), IF(AL6="Not Answered","-",AL6),)</f>
        <v>-</v>
      </c>
      <c r="BD6" s="10" t="str">
        <f t="shared" si="13"/>
        <v>-</v>
      </c>
    </row>
    <row r="7">
      <c r="A7" s="5">
        <f>IFERROR(__xludf.DUMMYFUNCTION("""COMPUTED_VALUE"""),1.14432951788E11)</f>
        <v>114432951788</v>
      </c>
      <c r="B7" s="11">
        <f>IFERROR(__xludf.DUMMYFUNCTION("""COMPUTED_VALUE"""),45209.45471064815)</f>
        <v>45209.45471</v>
      </c>
      <c r="C7" s="11">
        <f>IFERROR(__xludf.DUMMYFUNCTION("""COMPUTED_VALUE"""),45209.457280092596)</f>
        <v>45209.45728</v>
      </c>
      <c r="D7" s="5" t="str">
        <f>IFERROR(__xludf.DUMMYFUNCTION("""COMPUTED_VALUE"""),"160.67.51.32")</f>
        <v>160.67.51.32</v>
      </c>
      <c r="E7" s="5">
        <f>IFERROR(__xludf.DUMMYFUNCTION("""COMPUTED_VALUE"""),221.0)</f>
        <v>221</v>
      </c>
      <c r="F7" s="5" t="str">
        <f>IFERROR(__xludf.DUMMYFUNCTION("""COMPUTED_VALUE"""),"completed")</f>
        <v>completed</v>
      </c>
      <c r="G7" s="5" t="str">
        <f>IFERROR(__xludf.DUMMYFUNCTION("""COMPUTED_VALUE"""),"Not Answered")</f>
        <v>Not Answered</v>
      </c>
      <c r="H7" s="5" t="str">
        <f>IFERROR(__xludf.DUMMYFUNCTION("""COMPUTED_VALUE"""),"Not Answered")</f>
        <v>Not Answered</v>
      </c>
      <c r="I7" s="5" t="str">
        <f>IFERROR(__xludf.DUMMYFUNCTION("""COMPUTED_VALUE"""),"Not Answered")</f>
        <v>Not Answered</v>
      </c>
      <c r="J7" s="5">
        <f>IFERROR(__xludf.DUMMYFUNCTION("""COMPUTED_VALUE"""),4.27944757E8)</f>
        <v>427944757</v>
      </c>
      <c r="K7" s="5" t="str">
        <f>IFERROR(__xludf.DUMMYFUNCTION("""COMPUTED_VALUE"""),"weblink")</f>
        <v>weblink</v>
      </c>
      <c r="L7" s="5" t="str">
        <f>IFERROR(__xludf.DUMMYFUNCTION("""COMPUTED_VALUE"""),"Not Answered")</f>
        <v>Not Answered</v>
      </c>
      <c r="M7" s="5" t="str">
        <f>IFERROR(__xludf.DUMMYFUNCTION("""COMPUTED_VALUE"""),"Not Answered")</f>
        <v>Not Answered</v>
      </c>
      <c r="N7" s="5" t="str">
        <f>IFERROR(__xludf.DUMMYFUNCTION("""COMPUTED_VALUE"""),"NRK")</f>
        <v>NRK</v>
      </c>
      <c r="O7" s="5" t="str">
        <f>IFERROR(__xludf.DUMMYFUNCTION("""COMPUTED_VALUE"""),"Not Answered")</f>
        <v>Not Answered</v>
      </c>
      <c r="P7" s="5" t="str">
        <f>IFERROR(__xludf.DUMMYFUNCTION("""COMPUTED_VALUE"""),"Not Answered")</f>
        <v>Not Answered</v>
      </c>
      <c r="Q7" s="5" t="str">
        <f>IFERROR(__xludf.DUMMYFUNCTION("""COMPUTED_VALUE"""),"Not Answered")</f>
        <v>Not Answered</v>
      </c>
      <c r="R7" s="5" t="str">
        <f>IFERROR(__xludf.DUMMYFUNCTION("""COMPUTED_VALUE"""),"Not Answered")</f>
        <v>Not Answered</v>
      </c>
      <c r="S7" s="5" t="str">
        <f>IFERROR(__xludf.DUMMYFUNCTION("""COMPUTED_VALUE"""),"Not Answered")</f>
        <v>Not Answered</v>
      </c>
      <c r="T7" s="5" t="str">
        <f>IFERROR(__xludf.DUMMYFUNCTION("""COMPUTED_VALUE"""),"Not Answered")</f>
        <v>Not Answered</v>
      </c>
      <c r="U7" s="5" t="str">
        <f>IFERROR(__xludf.DUMMYFUNCTION("""COMPUTED_VALUE"""),"Not Answered")</f>
        <v>Not Answered</v>
      </c>
      <c r="V7" s="5" t="str">
        <f>IFERROR(__xludf.DUMMYFUNCTION("""COMPUTED_VALUE"""),"Audun Småge")</f>
        <v>Audun Småge</v>
      </c>
      <c r="W7" s="5" t="str">
        <f>IFERROR(__xludf.DUMMYFUNCTION("""COMPUTED_VALUE"""),"Not Answered")</f>
        <v>Not Answered</v>
      </c>
      <c r="X7" s="5" t="str">
        <f>IFERROR(__xludf.DUMMYFUNCTION("""COMPUTED_VALUE"""),"Not Answered")</f>
        <v>Not Answered</v>
      </c>
      <c r="Y7" s="5" t="str">
        <f>IFERROR(__xludf.DUMMYFUNCTION("""COMPUTED_VALUE"""),"Not Answered")</f>
        <v>Not Answered</v>
      </c>
      <c r="Z7" s="5" t="str">
        <f>IFERROR(__xludf.DUMMYFUNCTION("""COMPUTED_VALUE"""),"Not Answered")</f>
        <v>Not Answered</v>
      </c>
      <c r="AA7" s="5" t="str">
        <f>IFERROR(__xludf.DUMMYFUNCTION("""COMPUTED_VALUE"""),"Svært fornøyd")</f>
        <v>Svært fornøyd</v>
      </c>
      <c r="AB7" s="5" t="str">
        <f>IFERROR(__xludf.DUMMYFUNCTION("""COMPUTED_VALUE"""),"hyggelig å jobbe med, flink i de han gjør, viser at han bryr seg om å lage best mulig løsning for NRK. Ressurs og støttespiller inn i teamet som nå har en rekke nye ansatte. Hyggelig, rolig og omgjengelig. ")</f>
        <v>hyggelig å jobbe med, flink i de han gjør, viser at han bryr seg om å lage best mulig løsning for NRK. Ressurs og støttespiller inn i teamet som nå har en rekke nye ansatte. Hyggelig, rolig og omgjengelig. </v>
      </c>
      <c r="AC7" s="5" t="str">
        <f>IFERROR(__xludf.DUMMYFUNCTION("""COMPUTED_VALUE"""),"I stor grad")</f>
        <v>I stor grad</v>
      </c>
      <c r="AD7" s="5" t="str">
        <f>IFERROR(__xludf.DUMMYFUNCTION("""COMPUTED_VALUE"""),"han har absolutt riktig kompetanse for dette teamet, og vil bli savnet når han forsvinner til andre kunder")</f>
        <v>han har absolutt riktig kompetanse for dette teamet, og vil bli savnet når han forsvinner til andre kunder</v>
      </c>
      <c r="AE7" s="5" t="str">
        <f>IFERROR(__xludf.DUMMYFUNCTION("""COMPUTED_VALUE"""),"Svært fornøyd")</f>
        <v>Svært fornøyd</v>
      </c>
      <c r="AF7" s="5" t="str">
        <f>IFERROR(__xludf.DUMMYFUNCTION("""COMPUTED_VALUE"""),"deler kompetanse både i møter, i diskusjoner, gjennom codereview og eller der det er naturlig. Lett å spørre om hjelp. ")</f>
        <v>deler kompetanse både i møter, i diskusjoner, gjennom codereview og eller der det er naturlig. Lett å spørre om hjelp. </v>
      </c>
      <c r="AG7" s="5" t="str">
        <f>IFERROR(__xludf.DUMMYFUNCTION("""COMPUTED_VALUE"""),"Svært fornøyd")</f>
        <v>Svært fornøyd</v>
      </c>
      <c r="AH7" s="5" t="str">
        <f>IFERROR(__xludf.DUMMYFUNCTION("""COMPUTED_VALUE"""),"velig fornøyd! ")</f>
        <v>velig fornøyd! </v>
      </c>
      <c r="AI7" s="5" t="str">
        <f>IFERROR(__xludf.DUMMYFUNCTION("""COMPUTED_VALUE"""),"Not Answered")</f>
        <v>Not Answered</v>
      </c>
      <c r="AJ7" s="5" t="str">
        <f>IFERROR(__xludf.DUMMYFUNCTION("""COMPUTED_VALUE"""),"Not Answered")</f>
        <v>Not Answered</v>
      </c>
      <c r="AK7" s="5" t="str">
        <f>IFERROR(__xludf.DUMMYFUNCTION("""COMPUTED_VALUE"""),"I stor grad")</f>
        <v>I stor grad</v>
      </c>
      <c r="AL7" s="5" t="str">
        <f>IFERROR(__xludf.DUMMYFUNCTION("""COMPUTED_VALUE"""),"Not Answered")</f>
        <v>Not Answered</v>
      </c>
      <c r="AM7" s="5" t="str">
        <f>IFERROR(__xludf.DUMMYFUNCTION("""COMPUTED_VALUE"""),"Not Answered")</f>
        <v>Not Answered</v>
      </c>
      <c r="AN7" s="11">
        <f t="shared" si="3"/>
        <v>45209.45471</v>
      </c>
      <c r="AO7" s="5" t="str">
        <f t="shared" si="4"/>
        <v>NRK</v>
      </c>
      <c r="AP7" s="5" t="str">
        <f>IFERROR(__xludf.DUMMYFUNCTION("if(ISNUMBER(A7),FILTER(O7:Z7,REGEXMATCH(O7:Z7, ""Not Answered"")=FALSE),)"),"Audun Småge")</f>
        <v>Audun Småge</v>
      </c>
      <c r="AQ7" s="5" t="str">
        <f>if(ISNUMBER($C7), VLOOKUP(AP7, konsulenter!$A$1:$B99,2,false),)</f>
        <v>#N/A</v>
      </c>
      <c r="AR7" s="10">
        <f>if(ISNUMBER($A7), VLOOKUP(AA7, mapping!$A$2:$B99,2,false),)</f>
        <v>6</v>
      </c>
      <c r="AS7" s="10" t="str">
        <f t="shared" si="5"/>
        <v>hyggelig å jobbe med, flink i de han gjør, viser at han bryr seg om å lage best mulig løsning for NRK. Ressurs og støttespiller inn i teamet som nå har en rekke nye ansatte. Hyggelig, rolig og omgjengelig. </v>
      </c>
      <c r="AT7" s="10">
        <f>if(ISNUMBER($A7), VLOOKUP(AC7, mapping!$A$2:$B99,2,false),)</f>
        <v>6</v>
      </c>
      <c r="AU7" s="10" t="str">
        <f t="shared" si="6"/>
        <v>han har absolutt riktig kompetanse for dette teamet, og vil bli savnet når han forsvinner til andre kunder</v>
      </c>
      <c r="AV7" s="10">
        <f>if(ISNUMBER($A7), VLOOKUP(AE7, mapping!$A$2:$B99,2,false),)</f>
        <v>6</v>
      </c>
      <c r="AW7" s="10" t="str">
        <f t="shared" si="7"/>
        <v>deler kompetanse både i møter, i diskusjoner, gjennom codereview og eller der det er naturlig. Lett å spørre om hjelp. </v>
      </c>
      <c r="AX7" s="10">
        <f>if(ISNUMBER($A7), VLOOKUP(AG7, mapping!$A$2:$B99,2,false),)</f>
        <v>6</v>
      </c>
      <c r="AY7" s="10" t="str">
        <f t="shared" si="8"/>
        <v>velig fornøyd! </v>
      </c>
      <c r="AZ7" s="10" t="str">
        <f>if(ISNUMBER($A7), VLOOKUP(AI7, mapping!$A$2:$B99,2,false),)</f>
        <v/>
      </c>
      <c r="BA7" s="10" t="str">
        <f t="shared" si="9"/>
        <v>-</v>
      </c>
      <c r="BB7" s="10">
        <f>if(ISNUMBER($A7), VLOOKUP(AK7, mapping!$A$2:$B99,2,false),)</f>
        <v>6</v>
      </c>
      <c r="BC7" s="10" t="str">
        <f t="shared" ref="BC7:BD7" si="14">if(ISNUMBER($A7), IF(AL7="Not Answered","-",AL7),)</f>
        <v>-</v>
      </c>
      <c r="BD7" s="10" t="str">
        <f t="shared" si="14"/>
        <v>-</v>
      </c>
    </row>
    <row r="8">
      <c r="A8" s="5">
        <f>IFERROR(__xludf.DUMMYFUNCTION("""COMPUTED_VALUE"""),1.14433028131E11)</f>
        <v>114433028131</v>
      </c>
      <c r="B8" s="11">
        <f>IFERROR(__xludf.DUMMYFUNCTION("""COMPUTED_VALUE"""),45209.55348379629)</f>
        <v>45209.55348</v>
      </c>
      <c r="C8" s="11">
        <f>IFERROR(__xludf.DUMMYFUNCTION("""COMPUTED_VALUE"""),45209.55596064815)</f>
        <v>45209.55596</v>
      </c>
      <c r="D8" s="5" t="str">
        <f>IFERROR(__xludf.DUMMYFUNCTION("""COMPUTED_VALUE"""),"160.67.1.133")</f>
        <v>160.67.1.133</v>
      </c>
      <c r="E8" s="5">
        <f>IFERROR(__xludf.DUMMYFUNCTION("""COMPUTED_VALUE"""),213.0)</f>
        <v>213</v>
      </c>
      <c r="F8" s="5" t="str">
        <f>IFERROR(__xludf.DUMMYFUNCTION("""COMPUTED_VALUE"""),"completed")</f>
        <v>completed</v>
      </c>
      <c r="G8" s="5" t="str">
        <f>IFERROR(__xludf.DUMMYFUNCTION("""COMPUTED_VALUE"""),"Not Answered")</f>
        <v>Not Answered</v>
      </c>
      <c r="H8" s="5" t="str">
        <f>IFERROR(__xludf.DUMMYFUNCTION("""COMPUTED_VALUE"""),"Not Answered")</f>
        <v>Not Answered</v>
      </c>
      <c r="I8" s="5" t="str">
        <f>IFERROR(__xludf.DUMMYFUNCTION("""COMPUTED_VALUE"""),"Not Answered")</f>
        <v>Not Answered</v>
      </c>
      <c r="J8" s="5">
        <f>IFERROR(__xludf.DUMMYFUNCTION("""COMPUTED_VALUE"""),4.27944757E8)</f>
        <v>427944757</v>
      </c>
      <c r="K8" s="5" t="str">
        <f>IFERROR(__xludf.DUMMYFUNCTION("""COMPUTED_VALUE"""),"weblink")</f>
        <v>weblink</v>
      </c>
      <c r="L8" s="5" t="str">
        <f>IFERROR(__xludf.DUMMYFUNCTION("""COMPUTED_VALUE"""),"Not Answered")</f>
        <v>Not Answered</v>
      </c>
      <c r="M8" s="5" t="str">
        <f>IFERROR(__xludf.DUMMYFUNCTION("""COMPUTED_VALUE"""),"Not Answered")</f>
        <v>Not Answered</v>
      </c>
      <c r="N8" s="5" t="str">
        <f>IFERROR(__xludf.DUMMYFUNCTION("""COMPUTED_VALUE"""),"NRK")</f>
        <v>NRK</v>
      </c>
      <c r="O8" s="5" t="str">
        <f>IFERROR(__xludf.DUMMYFUNCTION("""COMPUTED_VALUE"""),"Not Answered")</f>
        <v>Not Answered</v>
      </c>
      <c r="P8" s="5" t="str">
        <f>IFERROR(__xludf.DUMMYFUNCTION("""COMPUTED_VALUE"""),"Not Answered")</f>
        <v>Not Answered</v>
      </c>
      <c r="Q8" s="5" t="str">
        <f>IFERROR(__xludf.DUMMYFUNCTION("""COMPUTED_VALUE"""),"Not Answered")</f>
        <v>Not Answered</v>
      </c>
      <c r="R8" s="5" t="str">
        <f>IFERROR(__xludf.DUMMYFUNCTION("""COMPUTED_VALUE"""),"Not Answered")</f>
        <v>Not Answered</v>
      </c>
      <c r="S8" s="5" t="str">
        <f>IFERROR(__xludf.DUMMYFUNCTION("""COMPUTED_VALUE"""),"Not Answered")</f>
        <v>Not Answered</v>
      </c>
      <c r="T8" s="5" t="str">
        <f>IFERROR(__xludf.DUMMYFUNCTION("""COMPUTED_VALUE"""),"Not Answered")</f>
        <v>Not Answered</v>
      </c>
      <c r="U8" s="5" t="str">
        <f>IFERROR(__xludf.DUMMYFUNCTION("""COMPUTED_VALUE"""),"Not Answered")</f>
        <v>Not Answered</v>
      </c>
      <c r="V8" s="5" t="str">
        <f>IFERROR(__xludf.DUMMYFUNCTION("""COMPUTED_VALUE"""),"Christian Wiik")</f>
        <v>Christian Wiik</v>
      </c>
      <c r="W8" s="5" t="str">
        <f>IFERROR(__xludf.DUMMYFUNCTION("""COMPUTED_VALUE"""),"Not Answered")</f>
        <v>Not Answered</v>
      </c>
      <c r="X8" s="5" t="str">
        <f>IFERROR(__xludf.DUMMYFUNCTION("""COMPUTED_VALUE"""),"Not Answered")</f>
        <v>Not Answered</v>
      </c>
      <c r="Y8" s="5" t="str">
        <f>IFERROR(__xludf.DUMMYFUNCTION("""COMPUTED_VALUE"""),"Not Answered")</f>
        <v>Not Answered</v>
      </c>
      <c r="Z8" s="5" t="str">
        <f>IFERROR(__xludf.DUMMYFUNCTION("""COMPUTED_VALUE"""),"Not Answered")</f>
        <v>Not Answered</v>
      </c>
      <c r="AA8" s="5" t="str">
        <f>IFERROR(__xludf.DUMMYFUNCTION("""COMPUTED_VALUE"""),"Svært fornøyd")</f>
        <v>Svært fornøyd</v>
      </c>
      <c r="AB8" s="5" t="str">
        <f>IFERROR(__xludf.DUMMYFUNCTION("""COMPUTED_VALUE"""),"veldig fornøyd med utført arbeid og med konsulenten. Han tar ansvar, er en viktig spiller i teamet, sier fra dersom det er noe som kan forbedres, kjenner god til løsningen og er en meget viktig person for teamet og NRK")</f>
        <v>veldig fornøyd med utført arbeid og med konsulenten. Han tar ansvar, er en viktig spiller i teamet, sier fra dersom det er noe som kan forbedres, kjenner god til løsningen og er en meget viktig person for teamet og NRK</v>
      </c>
      <c r="AC8" s="5" t="str">
        <f>IFERROR(__xludf.DUMMYFUNCTION("""COMPUTED_VALUE"""),"I stor grad")</f>
        <v>I stor grad</v>
      </c>
      <c r="AD8" s="5" t="str">
        <f>IFERROR(__xludf.DUMMYFUNCTION("""COMPUTED_VALUE"""),"Absolutt nødvendig kompetanse og er en ressurs i teamet - spesielt nå når vi har flere nye i teamet")</f>
        <v>Absolutt nødvendig kompetanse og er en ressurs i teamet - spesielt nå når vi har flere nye i teamet</v>
      </c>
      <c r="AE8" s="5" t="str">
        <f>IFERROR(__xludf.DUMMYFUNCTION("""COMPUTED_VALUE"""),"Svært fornøyd")</f>
        <v>Svært fornøyd</v>
      </c>
      <c r="AF8" s="5" t="str">
        <f>IFERROR(__xludf.DUMMYFUNCTION("""COMPUTED_VALUE"""),"god på å dele kompetanse, enten en-til-en, i parprogrammering, eller i større fora. Skal nå også dele større ting vi har gjort i teamet med hele teknologidivisjonen i NRK. ")</f>
        <v>god på å dele kompetanse, enten en-til-en, i parprogrammering, eller i større fora. Skal nå også dele større ting vi har gjort i teamet med hele teknologidivisjonen i NRK. </v>
      </c>
      <c r="AG8" s="5" t="str">
        <f>IFERROR(__xludf.DUMMYFUNCTION("""COMPUTED_VALUE"""),"Svært fornøyd")</f>
        <v>Svært fornøyd</v>
      </c>
      <c r="AH8" s="5" t="str">
        <f>IFERROR(__xludf.DUMMYFUNCTION("""COMPUTED_VALUE"""),"Meget fornøyd med det generelle arbeidet og alt i alt innstillingen til Christian. Han blir savnet når han en dag går videre til neste oppdrag. ")</f>
        <v>Meget fornøyd med det generelle arbeidet og alt i alt innstillingen til Christian. Han blir savnet når han en dag går videre til neste oppdrag. </v>
      </c>
      <c r="AI8" s="5" t="str">
        <f>IFERROR(__xludf.DUMMYFUNCTION("""COMPUTED_VALUE"""),"Not Answered")</f>
        <v>Not Answered</v>
      </c>
      <c r="AJ8" s="5" t="str">
        <f>IFERROR(__xludf.DUMMYFUNCTION("""COMPUTED_VALUE"""),"Not Answered")</f>
        <v>Not Answered</v>
      </c>
      <c r="AK8" s="5" t="str">
        <f>IFERROR(__xludf.DUMMYFUNCTION("""COMPUTED_VALUE"""),"I stor grad")</f>
        <v>I stor grad</v>
      </c>
      <c r="AL8" s="5" t="str">
        <f>IFERROR(__xludf.DUMMYFUNCTION("""COMPUTED_VALUE"""),"Not Answered")</f>
        <v>Not Answered</v>
      </c>
      <c r="AM8" s="5" t="str">
        <f>IFERROR(__xludf.DUMMYFUNCTION("""COMPUTED_VALUE"""),"Not Answered")</f>
        <v>Not Answered</v>
      </c>
      <c r="AN8" s="11">
        <f t="shared" si="3"/>
        <v>45209.55348</v>
      </c>
      <c r="AO8" s="5" t="str">
        <f t="shared" si="4"/>
        <v>NRK</v>
      </c>
      <c r="AP8" s="5" t="str">
        <f>IFERROR(__xludf.DUMMYFUNCTION("if(ISNUMBER(A8),FILTER(O8:Z8,REGEXMATCH(O8:Z8, ""Not Answered"")=FALSE),)"),"Christian Wiik")</f>
        <v>Christian Wiik</v>
      </c>
      <c r="AQ8" s="5" t="str">
        <f>if(ISNUMBER($C8), VLOOKUP(AP8, konsulenter!$A$1:$B99,2,false),)</f>
        <v>#N/A</v>
      </c>
      <c r="AR8" s="10">
        <f>if(ISNUMBER($A8), VLOOKUP(AA8, mapping!$A$2:$B99,2,false),)</f>
        <v>6</v>
      </c>
      <c r="AS8" s="10" t="str">
        <f t="shared" si="5"/>
        <v>veldig fornøyd med utført arbeid og med konsulenten. Han tar ansvar, er en viktig spiller i teamet, sier fra dersom det er noe som kan forbedres, kjenner god til løsningen og er en meget viktig person for teamet og NRK</v>
      </c>
      <c r="AT8" s="10">
        <f>if(ISNUMBER($A8), VLOOKUP(AC8, mapping!$A$2:$B99,2,false),)</f>
        <v>6</v>
      </c>
      <c r="AU8" s="10" t="str">
        <f t="shared" si="6"/>
        <v>Absolutt nødvendig kompetanse og er en ressurs i teamet - spesielt nå når vi har flere nye i teamet</v>
      </c>
      <c r="AV8" s="10">
        <f>if(ISNUMBER($A8), VLOOKUP(AE8, mapping!$A$2:$B99,2,false),)</f>
        <v>6</v>
      </c>
      <c r="AW8" s="10" t="str">
        <f t="shared" si="7"/>
        <v>god på å dele kompetanse, enten en-til-en, i parprogrammering, eller i større fora. Skal nå også dele større ting vi har gjort i teamet med hele teknologidivisjonen i NRK. </v>
      </c>
      <c r="AX8" s="10">
        <f>if(ISNUMBER($A8), VLOOKUP(AG8, mapping!$A$2:$B99,2,false),)</f>
        <v>6</v>
      </c>
      <c r="AY8" s="10" t="str">
        <f t="shared" si="8"/>
        <v>Meget fornøyd med det generelle arbeidet og alt i alt innstillingen til Christian. Han blir savnet når han en dag går videre til neste oppdrag. </v>
      </c>
      <c r="AZ8" s="10" t="str">
        <f>if(ISNUMBER($A8), VLOOKUP(AI8, mapping!$A$2:$B99,2,false),)</f>
        <v/>
      </c>
      <c r="BA8" s="10" t="str">
        <f t="shared" si="9"/>
        <v>-</v>
      </c>
      <c r="BB8" s="10">
        <f>if(ISNUMBER($A8), VLOOKUP(AK8, mapping!$A$2:$B99,2,false),)</f>
        <v>6</v>
      </c>
      <c r="BC8" s="10" t="str">
        <f t="shared" ref="BC8:BD8" si="15">if(ISNUMBER($A8), IF(AL8="Not Answered","-",AL8),)</f>
        <v>-</v>
      </c>
      <c r="BD8" s="10" t="str">
        <f t="shared" si="15"/>
        <v>-</v>
      </c>
    </row>
    <row r="9">
      <c r="A9" s="5">
        <f>IFERROR(__xludf.DUMMYFUNCTION("""COMPUTED_VALUE"""),1.14433974193E11)</f>
        <v>114433974193</v>
      </c>
      <c r="B9" s="11">
        <f>IFERROR(__xludf.DUMMYFUNCTION("""COMPUTED_VALUE"""),45210.44626157408)</f>
        <v>45210.44626</v>
      </c>
      <c r="C9" s="11">
        <f>IFERROR(__xludf.DUMMYFUNCTION("""COMPUTED_VALUE"""),45210.44694444444)</f>
        <v>45210.44694</v>
      </c>
      <c r="D9" s="5" t="str">
        <f>IFERROR(__xludf.DUMMYFUNCTION("""COMPUTED_VALUE"""),"78.41.46.2")</f>
        <v>78.41.46.2</v>
      </c>
      <c r="E9" s="5">
        <f>IFERROR(__xludf.DUMMYFUNCTION("""COMPUTED_VALUE"""),58.0)</f>
        <v>58</v>
      </c>
      <c r="F9" s="5" t="str">
        <f>IFERROR(__xludf.DUMMYFUNCTION("""COMPUTED_VALUE"""),"completed")</f>
        <v>completed</v>
      </c>
      <c r="G9" s="5" t="str">
        <f>IFERROR(__xludf.DUMMYFUNCTION("""COMPUTED_VALUE"""),"Not Answered")</f>
        <v>Not Answered</v>
      </c>
      <c r="H9" s="5" t="str">
        <f>IFERROR(__xludf.DUMMYFUNCTION("""COMPUTED_VALUE"""),"Not Answered")</f>
        <v>Not Answered</v>
      </c>
      <c r="I9" s="5" t="str">
        <f>IFERROR(__xludf.DUMMYFUNCTION("""COMPUTED_VALUE"""),"Not Answered")</f>
        <v>Not Answered</v>
      </c>
      <c r="J9" s="5">
        <f>IFERROR(__xludf.DUMMYFUNCTION("""COMPUTED_VALUE"""),4.27944757E8)</f>
        <v>427944757</v>
      </c>
      <c r="K9" s="5" t="str">
        <f>IFERROR(__xludf.DUMMYFUNCTION("""COMPUTED_VALUE"""),"weblink")</f>
        <v>weblink</v>
      </c>
      <c r="L9" s="5" t="str">
        <f>IFERROR(__xludf.DUMMYFUNCTION("""COMPUTED_VALUE"""),"Not Answered")</f>
        <v>Not Answered</v>
      </c>
      <c r="M9" s="5" t="str">
        <f>IFERROR(__xludf.DUMMYFUNCTION("""COMPUTED_VALUE"""),"Not Answered")</f>
        <v>Not Answered</v>
      </c>
      <c r="N9" s="5" t="str">
        <f>IFERROR(__xludf.DUMMYFUNCTION("""COMPUTED_VALUE"""),"Digitaliseringsdirektoratet")</f>
        <v>Digitaliseringsdirektoratet</v>
      </c>
      <c r="O9" s="5" t="str">
        <f>IFERROR(__xludf.DUMMYFUNCTION("""COMPUTED_VALUE"""),"Not Answered")</f>
        <v>Not Answered</v>
      </c>
      <c r="P9" s="5" t="str">
        <f>IFERROR(__xludf.DUMMYFUNCTION("""COMPUTED_VALUE"""),"Not Answered")</f>
        <v>Not Answered</v>
      </c>
      <c r="Q9" s="5" t="str">
        <f>IFERROR(__xludf.DUMMYFUNCTION("""COMPUTED_VALUE"""),"Not Answered")</f>
        <v>Not Answered</v>
      </c>
      <c r="R9" s="5" t="str">
        <f>IFERROR(__xludf.DUMMYFUNCTION("""COMPUTED_VALUE"""),"Not Answered")</f>
        <v>Not Answered</v>
      </c>
      <c r="S9" s="5" t="str">
        <f>IFERROR(__xludf.DUMMYFUNCTION("""COMPUTED_VALUE"""),"Not Answered")</f>
        <v>Not Answered</v>
      </c>
      <c r="T9" s="5" t="str">
        <f>IFERROR(__xludf.DUMMYFUNCTION("""COMPUTED_VALUE"""),"Not Answered")</f>
        <v>Not Answered</v>
      </c>
      <c r="U9" s="5" t="str">
        <f>IFERROR(__xludf.DUMMYFUNCTION("""COMPUTED_VALUE"""),"Not Answered")</f>
        <v>Not Answered</v>
      </c>
      <c r="V9" s="5" t="str">
        <f>IFERROR(__xludf.DUMMYFUNCTION("""COMPUTED_VALUE"""),"Not Answered")</f>
        <v>Not Answered</v>
      </c>
      <c r="W9" s="5" t="str">
        <f>IFERROR(__xludf.DUMMYFUNCTION("""COMPUTED_VALUE"""),"Not Answered")</f>
        <v>Not Answered</v>
      </c>
      <c r="X9" s="5" t="str">
        <f>IFERROR(__xludf.DUMMYFUNCTION("""COMPUTED_VALUE"""),"Not Answered")</f>
        <v>Not Answered</v>
      </c>
      <c r="Y9" s="5" t="str">
        <f>IFERROR(__xludf.DUMMYFUNCTION("""COMPUTED_VALUE"""),"Anne Marte Hjemås")</f>
        <v>Anne Marte Hjemås</v>
      </c>
      <c r="Z9" s="5" t="str">
        <f>IFERROR(__xludf.DUMMYFUNCTION("""COMPUTED_VALUE"""),"Not Answered")</f>
        <v>Not Answered</v>
      </c>
      <c r="AA9" s="5" t="str">
        <f>IFERROR(__xludf.DUMMYFUNCTION("""COMPUTED_VALUE"""),"Svært fornøyd")</f>
        <v>Svært fornøyd</v>
      </c>
      <c r="AB9" s="5" t="str">
        <f>IFERROR(__xludf.DUMMYFUNCTION("""COMPUTED_VALUE"""),"Not Answered")</f>
        <v>Not Answered</v>
      </c>
      <c r="AC9" s="5" t="str">
        <f>IFERROR(__xludf.DUMMYFUNCTION("""COMPUTED_VALUE"""),"I stor grad")</f>
        <v>I stor grad</v>
      </c>
      <c r="AD9" s="5" t="str">
        <f>IFERROR(__xludf.DUMMYFUNCTION("""COMPUTED_VALUE"""),"Not Answered")</f>
        <v>Not Answered</v>
      </c>
      <c r="AE9" s="5" t="str">
        <f>IFERROR(__xludf.DUMMYFUNCTION("""COMPUTED_VALUE"""),"Ganske fornøyd ")</f>
        <v>Ganske fornøyd </v>
      </c>
      <c r="AF9" s="5" t="str">
        <f>IFERROR(__xludf.DUMMYFUNCTION("""COMPUTED_VALUE"""),"Not Answered")</f>
        <v>Not Answered</v>
      </c>
      <c r="AG9" s="5" t="str">
        <f>IFERROR(__xludf.DUMMYFUNCTION("""COMPUTED_VALUE"""),"Svært fornøyd")</f>
        <v>Svært fornøyd</v>
      </c>
      <c r="AH9" s="5" t="str">
        <f>IFERROR(__xludf.DUMMYFUNCTION("""COMPUTED_VALUE"""),"Not Answered")</f>
        <v>Not Answered</v>
      </c>
      <c r="AI9" s="5" t="str">
        <f>IFERROR(__xludf.DUMMYFUNCTION("""COMPUTED_VALUE"""),"Litt fornøyd")</f>
        <v>Litt fornøyd</v>
      </c>
      <c r="AJ9" s="5" t="str">
        <f>IFERROR(__xludf.DUMMYFUNCTION("""COMPUTED_VALUE"""),"Not Answered")</f>
        <v>Not Answered</v>
      </c>
      <c r="AK9" s="5" t="str">
        <f>IFERROR(__xludf.DUMMYFUNCTION("""COMPUTED_VALUE"""),"4 - star")</f>
        <v>4 - star</v>
      </c>
      <c r="AL9" s="5" t="str">
        <f>IFERROR(__xludf.DUMMYFUNCTION("""COMPUTED_VALUE"""),"Not Answered")</f>
        <v>Not Answered</v>
      </c>
      <c r="AM9" s="5" t="str">
        <f>IFERROR(__xludf.DUMMYFUNCTION("""COMPUTED_VALUE"""),"Not Answered")</f>
        <v>Not Answered</v>
      </c>
      <c r="AN9" s="11">
        <f t="shared" si="3"/>
        <v>45210.44626</v>
      </c>
      <c r="AO9" s="5" t="str">
        <f t="shared" si="4"/>
        <v>Digitaliseringsdirektoratet</v>
      </c>
      <c r="AP9" s="5" t="str">
        <f>IFERROR(__xludf.DUMMYFUNCTION("if(ISNUMBER(A9),FILTER(O9:Z9,REGEXMATCH(O9:Z9, ""Not Answered"")=FALSE),)"),"Anne Marte Hjemås")</f>
        <v>Anne Marte Hjemås</v>
      </c>
      <c r="AQ9" s="5" t="str">
        <f>if(ISNUMBER($C9), VLOOKUP(AP9, konsulenter!$A$1:$B99,2,false),)</f>
        <v>#N/A</v>
      </c>
      <c r="AR9" s="10">
        <f>if(ISNUMBER($A9), VLOOKUP(AA9, mapping!$A$2:$B99,2,false),)</f>
        <v>6</v>
      </c>
      <c r="AS9" s="10" t="str">
        <f t="shared" si="5"/>
        <v>-</v>
      </c>
      <c r="AT9" s="10">
        <f>if(ISNUMBER($A9), VLOOKUP(AC9, mapping!$A$2:$B99,2,false),)</f>
        <v>6</v>
      </c>
      <c r="AU9" s="10" t="str">
        <f t="shared" si="6"/>
        <v>-</v>
      </c>
      <c r="AV9" s="10">
        <f>if(ISNUMBER($A9), VLOOKUP(AE9, mapping!$A$2:$B99,2,false),)</f>
        <v>5</v>
      </c>
      <c r="AW9" s="10" t="str">
        <f t="shared" si="7"/>
        <v>-</v>
      </c>
      <c r="AX9" s="10">
        <f>if(ISNUMBER($A9), VLOOKUP(AG9, mapping!$A$2:$B99,2,false),)</f>
        <v>6</v>
      </c>
      <c r="AY9" s="10" t="str">
        <f t="shared" si="8"/>
        <v>-</v>
      </c>
      <c r="AZ9" s="10">
        <f>if(ISNUMBER($A9), VLOOKUP(AI9, mapping!$A$2:$B99,2,false),)</f>
        <v>4</v>
      </c>
      <c r="BA9" s="10" t="str">
        <f t="shared" si="9"/>
        <v>-</v>
      </c>
      <c r="BB9" s="10">
        <f>if(ISNUMBER($A9), VLOOKUP(AK9, mapping!$A$2:$B99,2,false),)</f>
        <v>4</v>
      </c>
      <c r="BC9" s="10" t="str">
        <f t="shared" ref="BC9:BD9" si="16">if(ISNUMBER($A9), IF(AL9="Not Answered","-",AL9),)</f>
        <v>-</v>
      </c>
      <c r="BD9" s="10" t="str">
        <f t="shared" si="16"/>
        <v>-</v>
      </c>
    </row>
    <row r="10">
      <c r="A10" s="5">
        <f>IFERROR(__xludf.DUMMYFUNCTION("""COMPUTED_VALUE"""),1.14433974925E11)</f>
        <v>114433974925</v>
      </c>
      <c r="B10" s="11">
        <f>IFERROR(__xludf.DUMMYFUNCTION("""COMPUTED_VALUE"""),45210.44708333333)</f>
        <v>45210.44708</v>
      </c>
      <c r="C10" s="11">
        <f>IFERROR(__xludf.DUMMYFUNCTION("""COMPUTED_VALUE"""),45210.447604166664)</f>
        <v>45210.4476</v>
      </c>
      <c r="D10" s="5" t="str">
        <f>IFERROR(__xludf.DUMMYFUNCTION("""COMPUTED_VALUE"""),"78.41.46.2")</f>
        <v>78.41.46.2</v>
      </c>
      <c r="E10" s="5">
        <f>IFERROR(__xludf.DUMMYFUNCTION("""COMPUTED_VALUE"""),44.0)</f>
        <v>44</v>
      </c>
      <c r="F10" s="5" t="str">
        <f>IFERROR(__xludf.DUMMYFUNCTION("""COMPUTED_VALUE"""),"completed")</f>
        <v>completed</v>
      </c>
      <c r="G10" s="5" t="str">
        <f>IFERROR(__xludf.DUMMYFUNCTION("""COMPUTED_VALUE"""),"Not Answered")</f>
        <v>Not Answered</v>
      </c>
      <c r="H10" s="5" t="str">
        <f>IFERROR(__xludf.DUMMYFUNCTION("""COMPUTED_VALUE"""),"Not Answered")</f>
        <v>Not Answered</v>
      </c>
      <c r="I10" s="5" t="str">
        <f>IFERROR(__xludf.DUMMYFUNCTION("""COMPUTED_VALUE"""),"Not Answered")</f>
        <v>Not Answered</v>
      </c>
      <c r="J10" s="5">
        <f>IFERROR(__xludf.DUMMYFUNCTION("""COMPUTED_VALUE"""),4.27944757E8)</f>
        <v>427944757</v>
      </c>
      <c r="K10" s="5" t="str">
        <f>IFERROR(__xludf.DUMMYFUNCTION("""COMPUTED_VALUE"""),"weblink")</f>
        <v>weblink</v>
      </c>
      <c r="L10" s="5" t="str">
        <f>IFERROR(__xludf.DUMMYFUNCTION("""COMPUTED_VALUE"""),"Not Answered")</f>
        <v>Not Answered</v>
      </c>
      <c r="M10" s="5" t="str">
        <f>IFERROR(__xludf.DUMMYFUNCTION("""COMPUTED_VALUE"""),"Not Answered")</f>
        <v>Not Answered</v>
      </c>
      <c r="N10" s="5" t="str">
        <f>IFERROR(__xludf.DUMMYFUNCTION("""COMPUTED_VALUE"""),"Digitaliseringsdirektoratet")</f>
        <v>Digitaliseringsdirektoratet</v>
      </c>
      <c r="O10" s="5" t="str">
        <f>IFERROR(__xludf.DUMMYFUNCTION("""COMPUTED_VALUE"""),"Not Answered")</f>
        <v>Not Answered</v>
      </c>
      <c r="P10" s="5" t="str">
        <f>IFERROR(__xludf.DUMMYFUNCTION("""COMPUTED_VALUE"""),"Not Answered")</f>
        <v>Not Answered</v>
      </c>
      <c r="Q10" s="5" t="str">
        <f>IFERROR(__xludf.DUMMYFUNCTION("""COMPUTED_VALUE"""),"Not Answered")</f>
        <v>Not Answered</v>
      </c>
      <c r="R10" s="5" t="str">
        <f>IFERROR(__xludf.DUMMYFUNCTION("""COMPUTED_VALUE"""),"Not Answered")</f>
        <v>Not Answered</v>
      </c>
      <c r="S10" s="5" t="str">
        <f>IFERROR(__xludf.DUMMYFUNCTION("""COMPUTED_VALUE"""),"Not Answered")</f>
        <v>Not Answered</v>
      </c>
      <c r="T10" s="5" t="str">
        <f>IFERROR(__xludf.DUMMYFUNCTION("""COMPUTED_VALUE"""),"Not Answered")</f>
        <v>Not Answered</v>
      </c>
      <c r="U10" s="5" t="str">
        <f>IFERROR(__xludf.DUMMYFUNCTION("""COMPUTED_VALUE"""),"Not Answered")</f>
        <v>Not Answered</v>
      </c>
      <c r="V10" s="5" t="str">
        <f>IFERROR(__xludf.DUMMYFUNCTION("""COMPUTED_VALUE"""),"Not Answered")</f>
        <v>Not Answered</v>
      </c>
      <c r="W10" s="5" t="str">
        <f>IFERROR(__xludf.DUMMYFUNCTION("""COMPUTED_VALUE"""),"Not Answered")</f>
        <v>Not Answered</v>
      </c>
      <c r="X10" s="5" t="str">
        <f>IFERROR(__xludf.DUMMYFUNCTION("""COMPUTED_VALUE"""),"Not Answered")</f>
        <v>Not Answered</v>
      </c>
      <c r="Y10" s="5" t="str">
        <f>IFERROR(__xludf.DUMMYFUNCTION("""COMPUTED_VALUE"""),"Frode Bjerkholt")</f>
        <v>Frode Bjerkholt</v>
      </c>
      <c r="Z10" s="5" t="str">
        <f>IFERROR(__xludf.DUMMYFUNCTION("""COMPUTED_VALUE"""),"Not Answered")</f>
        <v>Not Answered</v>
      </c>
      <c r="AA10" s="5" t="str">
        <f>IFERROR(__xludf.DUMMYFUNCTION("""COMPUTED_VALUE"""),"Svært fornøyd")</f>
        <v>Svært fornøyd</v>
      </c>
      <c r="AB10" s="5" t="str">
        <f>IFERROR(__xludf.DUMMYFUNCTION("""COMPUTED_VALUE"""),"Not Answered")</f>
        <v>Not Answered</v>
      </c>
      <c r="AC10" s="5" t="str">
        <f>IFERROR(__xludf.DUMMYFUNCTION("""COMPUTED_VALUE"""),"I stor grad")</f>
        <v>I stor grad</v>
      </c>
      <c r="AD10" s="5" t="str">
        <f>IFERROR(__xludf.DUMMYFUNCTION("""COMPUTED_VALUE"""),"Not Answered")</f>
        <v>Not Answered</v>
      </c>
      <c r="AE10" s="5" t="str">
        <f>IFERROR(__xludf.DUMMYFUNCTION("""COMPUTED_VALUE"""),"Ganske fornøyd ")</f>
        <v>Ganske fornøyd </v>
      </c>
      <c r="AF10" s="5" t="str">
        <f>IFERROR(__xludf.DUMMYFUNCTION("""COMPUTED_VALUE"""),"Not Answered")</f>
        <v>Not Answered</v>
      </c>
      <c r="AG10" s="5" t="str">
        <f>IFERROR(__xludf.DUMMYFUNCTION("""COMPUTED_VALUE"""),"Ganske fornøyd")</f>
        <v>Ganske fornøyd</v>
      </c>
      <c r="AH10" s="5" t="str">
        <f>IFERROR(__xludf.DUMMYFUNCTION("""COMPUTED_VALUE"""),"Not Answered")</f>
        <v>Not Answered</v>
      </c>
      <c r="AI10" s="5" t="str">
        <f>IFERROR(__xludf.DUMMYFUNCTION("""COMPUTED_VALUE"""),"Litt fornøyd")</f>
        <v>Litt fornøyd</v>
      </c>
      <c r="AJ10" s="5" t="str">
        <f>IFERROR(__xludf.DUMMYFUNCTION("""COMPUTED_VALUE"""),"Not Answered")</f>
        <v>Not Answered</v>
      </c>
      <c r="AK10" s="5" t="str">
        <f>IFERROR(__xludf.DUMMYFUNCTION("""COMPUTED_VALUE"""),"4 - star")</f>
        <v>4 - star</v>
      </c>
      <c r="AL10" s="5" t="str">
        <f>IFERROR(__xludf.DUMMYFUNCTION("""COMPUTED_VALUE"""),"Not Answered")</f>
        <v>Not Answered</v>
      </c>
      <c r="AM10" s="5" t="str">
        <f>IFERROR(__xludf.DUMMYFUNCTION("""COMPUTED_VALUE"""),"Not Answered")</f>
        <v>Not Answered</v>
      </c>
      <c r="AN10" s="11">
        <f t="shared" si="3"/>
        <v>45210.44708</v>
      </c>
      <c r="AO10" s="5" t="str">
        <f t="shared" si="4"/>
        <v>Digitaliseringsdirektoratet</v>
      </c>
      <c r="AP10" s="5" t="str">
        <f>IFERROR(__xludf.DUMMYFUNCTION("if(ISNUMBER(A10),FILTER(O10:Z10,REGEXMATCH(O10:Z10, ""Not Answered"")=FALSE),)"),"Frode Bjerkholt")</f>
        <v>Frode Bjerkholt</v>
      </c>
      <c r="AQ10" s="5" t="str">
        <f>if(ISNUMBER($C10), VLOOKUP(AP10, konsulenter!$A$1:$B99,2,false),)</f>
        <v>#N/A</v>
      </c>
      <c r="AR10" s="10">
        <f>if(ISNUMBER($A10), VLOOKUP(AA10, mapping!$A$2:$B99,2,false),)</f>
        <v>6</v>
      </c>
      <c r="AS10" s="10" t="str">
        <f t="shared" si="5"/>
        <v>-</v>
      </c>
      <c r="AT10" s="10">
        <f>if(ISNUMBER($A10), VLOOKUP(AC10, mapping!$A$2:$B99,2,false),)</f>
        <v>6</v>
      </c>
      <c r="AU10" s="10" t="str">
        <f t="shared" si="6"/>
        <v>-</v>
      </c>
      <c r="AV10" s="10">
        <f>if(ISNUMBER($A10), VLOOKUP(AE10, mapping!$A$2:$B99,2,false),)</f>
        <v>5</v>
      </c>
      <c r="AW10" s="10" t="str">
        <f t="shared" si="7"/>
        <v>-</v>
      </c>
      <c r="AX10" s="10">
        <f>if(ISNUMBER($A10), VLOOKUP(AG10, mapping!$A$2:$B99,2,false),)</f>
        <v>5</v>
      </c>
      <c r="AY10" s="10" t="str">
        <f t="shared" si="8"/>
        <v>-</v>
      </c>
      <c r="AZ10" s="10">
        <f>if(ISNUMBER($A10), VLOOKUP(AI10, mapping!$A$2:$B99,2,false),)</f>
        <v>4</v>
      </c>
      <c r="BA10" s="10" t="str">
        <f t="shared" si="9"/>
        <v>-</v>
      </c>
      <c r="BB10" s="10">
        <f>if(ISNUMBER($A10), VLOOKUP(AK10, mapping!$A$2:$B99,2,false),)</f>
        <v>4</v>
      </c>
      <c r="BC10" s="10" t="str">
        <f t="shared" ref="BC10:BD10" si="17">if(ISNUMBER($A10), IF(AL10="Not Answered","-",AL10),)</f>
        <v>-</v>
      </c>
      <c r="BD10" s="10" t="str">
        <f t="shared" si="17"/>
        <v>-</v>
      </c>
    </row>
    <row r="11">
      <c r="A11" s="5">
        <f>IFERROR(__xludf.DUMMYFUNCTION("""COMPUTED_VALUE"""),1.14433975481E11)</f>
        <v>114433975481</v>
      </c>
      <c r="B11" s="11">
        <f>IFERROR(__xludf.DUMMYFUNCTION("""COMPUTED_VALUE"""),45210.44766203704)</f>
        <v>45210.44766</v>
      </c>
      <c r="C11" s="11">
        <f>IFERROR(__xludf.DUMMYFUNCTION("""COMPUTED_VALUE"""),45210.448333333334)</f>
        <v>45210.44833</v>
      </c>
      <c r="D11" s="5" t="str">
        <f>IFERROR(__xludf.DUMMYFUNCTION("""COMPUTED_VALUE"""),"78.41.46.2")</f>
        <v>78.41.46.2</v>
      </c>
      <c r="E11" s="5">
        <f>IFERROR(__xludf.DUMMYFUNCTION("""COMPUTED_VALUE"""),57.0)</f>
        <v>57</v>
      </c>
      <c r="F11" s="5" t="str">
        <f>IFERROR(__xludf.DUMMYFUNCTION("""COMPUTED_VALUE"""),"completed")</f>
        <v>completed</v>
      </c>
      <c r="G11" s="5" t="str">
        <f>IFERROR(__xludf.DUMMYFUNCTION("""COMPUTED_VALUE"""),"Not Answered")</f>
        <v>Not Answered</v>
      </c>
      <c r="H11" s="5" t="str">
        <f>IFERROR(__xludf.DUMMYFUNCTION("""COMPUTED_VALUE"""),"Not Answered")</f>
        <v>Not Answered</v>
      </c>
      <c r="I11" s="5" t="str">
        <f>IFERROR(__xludf.DUMMYFUNCTION("""COMPUTED_VALUE"""),"Not Answered")</f>
        <v>Not Answered</v>
      </c>
      <c r="J11" s="5">
        <f>IFERROR(__xludf.DUMMYFUNCTION("""COMPUTED_VALUE"""),4.27944757E8)</f>
        <v>427944757</v>
      </c>
      <c r="K11" s="5" t="str">
        <f>IFERROR(__xludf.DUMMYFUNCTION("""COMPUTED_VALUE"""),"weblink")</f>
        <v>weblink</v>
      </c>
      <c r="L11" s="5" t="str">
        <f>IFERROR(__xludf.DUMMYFUNCTION("""COMPUTED_VALUE"""),"Not Answered")</f>
        <v>Not Answered</v>
      </c>
      <c r="M11" s="5" t="str">
        <f>IFERROR(__xludf.DUMMYFUNCTION("""COMPUTED_VALUE"""),"Not Answered")</f>
        <v>Not Answered</v>
      </c>
      <c r="N11" s="5" t="str">
        <f>IFERROR(__xludf.DUMMYFUNCTION("""COMPUTED_VALUE"""),"Digitaliseringsdirektoratet")</f>
        <v>Digitaliseringsdirektoratet</v>
      </c>
      <c r="O11" s="5" t="str">
        <f>IFERROR(__xludf.DUMMYFUNCTION("""COMPUTED_VALUE"""),"Not Answered")</f>
        <v>Not Answered</v>
      </c>
      <c r="P11" s="5" t="str">
        <f>IFERROR(__xludf.DUMMYFUNCTION("""COMPUTED_VALUE"""),"Not Answered")</f>
        <v>Not Answered</v>
      </c>
      <c r="Q11" s="5" t="str">
        <f>IFERROR(__xludf.DUMMYFUNCTION("""COMPUTED_VALUE"""),"Not Answered")</f>
        <v>Not Answered</v>
      </c>
      <c r="R11" s="5" t="str">
        <f>IFERROR(__xludf.DUMMYFUNCTION("""COMPUTED_VALUE"""),"Not Answered")</f>
        <v>Not Answered</v>
      </c>
      <c r="S11" s="5" t="str">
        <f>IFERROR(__xludf.DUMMYFUNCTION("""COMPUTED_VALUE"""),"Not Answered")</f>
        <v>Not Answered</v>
      </c>
      <c r="T11" s="5" t="str">
        <f>IFERROR(__xludf.DUMMYFUNCTION("""COMPUTED_VALUE"""),"Not Answered")</f>
        <v>Not Answered</v>
      </c>
      <c r="U11" s="5" t="str">
        <f>IFERROR(__xludf.DUMMYFUNCTION("""COMPUTED_VALUE"""),"Not Answered")</f>
        <v>Not Answered</v>
      </c>
      <c r="V11" s="5" t="str">
        <f>IFERROR(__xludf.DUMMYFUNCTION("""COMPUTED_VALUE"""),"Not Answered")</f>
        <v>Not Answered</v>
      </c>
      <c r="W11" s="5" t="str">
        <f>IFERROR(__xludf.DUMMYFUNCTION("""COMPUTED_VALUE"""),"Not Answered")</f>
        <v>Not Answered</v>
      </c>
      <c r="X11" s="5" t="str">
        <f>IFERROR(__xludf.DUMMYFUNCTION("""COMPUTED_VALUE"""),"Not Answered")</f>
        <v>Not Answered</v>
      </c>
      <c r="Y11" s="5" t="str">
        <f>IFERROR(__xludf.DUMMYFUNCTION("""COMPUTED_VALUE"""),"Aase Mestad")</f>
        <v>Aase Mestad</v>
      </c>
      <c r="Z11" s="5" t="str">
        <f>IFERROR(__xludf.DUMMYFUNCTION("""COMPUTED_VALUE"""),"Not Answered")</f>
        <v>Not Answered</v>
      </c>
      <c r="AA11" s="5" t="str">
        <f>IFERROR(__xludf.DUMMYFUNCTION("""COMPUTED_VALUE"""),"Ganske fornøyd")</f>
        <v>Ganske fornøyd</v>
      </c>
      <c r="AB11" s="5" t="str">
        <f>IFERROR(__xludf.DUMMYFUNCTION("""COMPUTED_VALUE"""),"Not Answered")</f>
        <v>Not Answered</v>
      </c>
      <c r="AC11" s="5" t="str">
        <f>IFERROR(__xludf.DUMMYFUNCTION("""COMPUTED_VALUE"""),"5 - star")</f>
        <v>5 - star</v>
      </c>
      <c r="AD11" s="5" t="str">
        <f>IFERROR(__xludf.DUMMYFUNCTION("""COMPUTED_VALUE"""),"Not Answered")</f>
        <v>Not Answered</v>
      </c>
      <c r="AE11" s="5" t="str">
        <f>IFERROR(__xludf.DUMMYFUNCTION("""COMPUTED_VALUE"""),"Ganske fornøyd ")</f>
        <v>Ganske fornøyd </v>
      </c>
      <c r="AF11" s="5" t="str">
        <f>IFERROR(__xludf.DUMMYFUNCTION("""COMPUTED_VALUE"""),"Not Answered")</f>
        <v>Not Answered</v>
      </c>
      <c r="AG11" s="5" t="str">
        <f>IFERROR(__xludf.DUMMYFUNCTION("""COMPUTED_VALUE"""),"Svært fornøyd")</f>
        <v>Svært fornøyd</v>
      </c>
      <c r="AH11" s="5" t="str">
        <f>IFERROR(__xludf.DUMMYFUNCTION("""COMPUTED_VALUE"""),"Not Answered")</f>
        <v>Not Answered</v>
      </c>
      <c r="AI11" s="5" t="str">
        <f>IFERROR(__xludf.DUMMYFUNCTION("""COMPUTED_VALUE"""),"Litt fornøyd")</f>
        <v>Litt fornøyd</v>
      </c>
      <c r="AJ11" s="5" t="str">
        <f>IFERROR(__xludf.DUMMYFUNCTION("""COMPUTED_VALUE"""),"Not Answered")</f>
        <v>Not Answered</v>
      </c>
      <c r="AK11" s="5" t="str">
        <f>IFERROR(__xludf.DUMMYFUNCTION("""COMPUTED_VALUE"""),"4 - star")</f>
        <v>4 - star</v>
      </c>
      <c r="AL11" s="5" t="str">
        <f>IFERROR(__xludf.DUMMYFUNCTION("""COMPUTED_VALUE"""),"Not Answered")</f>
        <v>Not Answered</v>
      </c>
      <c r="AM11" s="5" t="str">
        <f>IFERROR(__xludf.DUMMYFUNCTION("""COMPUTED_VALUE"""),"Not Answered")</f>
        <v>Not Answered</v>
      </c>
      <c r="AN11" s="11">
        <f t="shared" si="3"/>
        <v>45210.44766</v>
      </c>
      <c r="AO11" s="5" t="str">
        <f t="shared" si="4"/>
        <v>Digitaliseringsdirektoratet</v>
      </c>
      <c r="AP11" s="5" t="str">
        <f>IFERROR(__xludf.DUMMYFUNCTION("if(ISNUMBER(A11),FILTER(O11:Z11,REGEXMATCH(O11:Z11, ""Not Answered"")=FALSE),)"),"Aase Mestad")</f>
        <v>Aase Mestad</v>
      </c>
      <c r="AQ11" s="5" t="str">
        <f>if(ISNUMBER($C11), VLOOKUP(AP11, konsulenter!$A$1:$B99,2,false),)</f>
        <v>#N/A</v>
      </c>
      <c r="AR11" s="10">
        <f>if(ISNUMBER($A11), VLOOKUP(AA11, mapping!$A$2:$B99,2,false),)</f>
        <v>5</v>
      </c>
      <c r="AS11" s="10" t="str">
        <f t="shared" si="5"/>
        <v>-</v>
      </c>
      <c r="AT11" s="10">
        <f>if(ISNUMBER($A11), VLOOKUP(AC11, mapping!$A$2:$B99,2,false),)</f>
        <v>5</v>
      </c>
      <c r="AU11" s="10" t="str">
        <f t="shared" si="6"/>
        <v>-</v>
      </c>
      <c r="AV11" s="10">
        <f>if(ISNUMBER($A11), VLOOKUP(AE11, mapping!$A$2:$B99,2,false),)</f>
        <v>5</v>
      </c>
      <c r="AW11" s="10" t="str">
        <f t="shared" si="7"/>
        <v>-</v>
      </c>
      <c r="AX11" s="10">
        <f>if(ISNUMBER($A11), VLOOKUP(AG11, mapping!$A$2:$B99,2,false),)</f>
        <v>6</v>
      </c>
      <c r="AY11" s="10" t="str">
        <f t="shared" si="8"/>
        <v>-</v>
      </c>
      <c r="AZ11" s="10">
        <f>if(ISNUMBER($A11), VLOOKUP(AI11, mapping!$A$2:$B99,2,false),)</f>
        <v>4</v>
      </c>
      <c r="BA11" s="10" t="str">
        <f t="shared" si="9"/>
        <v>-</v>
      </c>
      <c r="BB11" s="10">
        <f>if(ISNUMBER($A11), VLOOKUP(AK11, mapping!$A$2:$B99,2,false),)</f>
        <v>4</v>
      </c>
      <c r="BC11" s="10" t="str">
        <f t="shared" ref="BC11:BD11" si="18">if(ISNUMBER($A11), IF(AL11="Not Answered","-",AL11),)</f>
        <v>-</v>
      </c>
      <c r="BD11" s="10" t="str">
        <f t="shared" si="18"/>
        <v>-</v>
      </c>
    </row>
    <row r="12">
      <c r="A12" s="5">
        <f>IFERROR(__xludf.DUMMYFUNCTION("""COMPUTED_VALUE"""),1.14433976163E11)</f>
        <v>114433976163</v>
      </c>
      <c r="B12" s="11">
        <f>IFERROR(__xludf.DUMMYFUNCTION("""COMPUTED_VALUE"""),45210.4483912037)</f>
        <v>45210.44839</v>
      </c>
      <c r="C12" s="11">
        <f>IFERROR(__xludf.DUMMYFUNCTION("""COMPUTED_VALUE"""),45210.449421296296)</f>
        <v>45210.44942</v>
      </c>
      <c r="D12" s="5" t="str">
        <f>IFERROR(__xludf.DUMMYFUNCTION("""COMPUTED_VALUE"""),"78.41.46.2")</f>
        <v>78.41.46.2</v>
      </c>
      <c r="E12" s="5">
        <f>IFERROR(__xludf.DUMMYFUNCTION("""COMPUTED_VALUE"""),88.0)</f>
        <v>88</v>
      </c>
      <c r="F12" s="5" t="str">
        <f>IFERROR(__xludf.DUMMYFUNCTION("""COMPUTED_VALUE"""),"completed")</f>
        <v>completed</v>
      </c>
      <c r="G12" s="5" t="str">
        <f>IFERROR(__xludf.DUMMYFUNCTION("""COMPUTED_VALUE"""),"Not Answered")</f>
        <v>Not Answered</v>
      </c>
      <c r="H12" s="5" t="str">
        <f>IFERROR(__xludf.DUMMYFUNCTION("""COMPUTED_VALUE"""),"Not Answered")</f>
        <v>Not Answered</v>
      </c>
      <c r="I12" s="5" t="str">
        <f>IFERROR(__xludf.DUMMYFUNCTION("""COMPUTED_VALUE"""),"Not Answered")</f>
        <v>Not Answered</v>
      </c>
      <c r="J12" s="5">
        <f>IFERROR(__xludf.DUMMYFUNCTION("""COMPUTED_VALUE"""),4.27944757E8)</f>
        <v>427944757</v>
      </c>
      <c r="K12" s="5" t="str">
        <f>IFERROR(__xludf.DUMMYFUNCTION("""COMPUTED_VALUE"""),"weblink")</f>
        <v>weblink</v>
      </c>
      <c r="L12" s="5" t="str">
        <f>IFERROR(__xludf.DUMMYFUNCTION("""COMPUTED_VALUE"""),"Not Answered")</f>
        <v>Not Answered</v>
      </c>
      <c r="M12" s="5" t="str">
        <f>IFERROR(__xludf.DUMMYFUNCTION("""COMPUTED_VALUE"""),"Not Answered")</f>
        <v>Not Answered</v>
      </c>
      <c r="N12" s="5" t="str">
        <f>IFERROR(__xludf.DUMMYFUNCTION("""COMPUTED_VALUE"""),"Digitaliseringsdirektoratet")</f>
        <v>Digitaliseringsdirektoratet</v>
      </c>
      <c r="O12" s="5" t="str">
        <f>IFERROR(__xludf.DUMMYFUNCTION("""COMPUTED_VALUE"""),"Not Answered")</f>
        <v>Not Answered</v>
      </c>
      <c r="P12" s="5" t="str">
        <f>IFERROR(__xludf.DUMMYFUNCTION("""COMPUTED_VALUE"""),"Not Answered")</f>
        <v>Not Answered</v>
      </c>
      <c r="Q12" s="5" t="str">
        <f>IFERROR(__xludf.DUMMYFUNCTION("""COMPUTED_VALUE"""),"Not Answered")</f>
        <v>Not Answered</v>
      </c>
      <c r="R12" s="5" t="str">
        <f>IFERROR(__xludf.DUMMYFUNCTION("""COMPUTED_VALUE"""),"Not Answered")</f>
        <v>Not Answered</v>
      </c>
      <c r="S12" s="5" t="str">
        <f>IFERROR(__xludf.DUMMYFUNCTION("""COMPUTED_VALUE"""),"Not Answered")</f>
        <v>Not Answered</v>
      </c>
      <c r="T12" s="5" t="str">
        <f>IFERROR(__xludf.DUMMYFUNCTION("""COMPUTED_VALUE"""),"Not Answered")</f>
        <v>Not Answered</v>
      </c>
      <c r="U12" s="5" t="str">
        <f>IFERROR(__xludf.DUMMYFUNCTION("""COMPUTED_VALUE"""),"Not Answered")</f>
        <v>Not Answered</v>
      </c>
      <c r="V12" s="5" t="str">
        <f>IFERROR(__xludf.DUMMYFUNCTION("""COMPUTED_VALUE"""),"Not Answered")</f>
        <v>Not Answered</v>
      </c>
      <c r="W12" s="5" t="str">
        <f>IFERROR(__xludf.DUMMYFUNCTION("""COMPUTED_VALUE"""),"Not Answered")</f>
        <v>Not Answered</v>
      </c>
      <c r="X12" s="5" t="str">
        <f>IFERROR(__xludf.DUMMYFUNCTION("""COMPUTED_VALUE"""),"Not Answered")</f>
        <v>Not Answered</v>
      </c>
      <c r="Y12" s="5" t="str">
        <f>IFERROR(__xludf.DUMMYFUNCTION("""COMPUTED_VALUE"""),"Bjørn Aron Josefsen")</f>
        <v>Bjørn Aron Josefsen</v>
      </c>
      <c r="Z12" s="5" t="str">
        <f>IFERROR(__xludf.DUMMYFUNCTION("""COMPUTED_VALUE"""),"Not Answered")</f>
        <v>Not Answered</v>
      </c>
      <c r="AA12" s="5" t="str">
        <f>IFERROR(__xludf.DUMMYFUNCTION("""COMPUTED_VALUE"""),"Litt fornøyd")</f>
        <v>Litt fornøyd</v>
      </c>
      <c r="AB12" s="5" t="str">
        <f>IFERROR(__xludf.DUMMYFUNCTION("""COMPUTED_VALUE"""),"Høg kvalitet, men utfordrande samhandling. Kjent og akseptert")</f>
        <v>Høg kvalitet, men utfordrande samhandling. Kjent og akseptert</v>
      </c>
      <c r="AC12" s="5" t="str">
        <f>IFERROR(__xludf.DUMMYFUNCTION("""COMPUTED_VALUE"""),"5 - star")</f>
        <v>5 - star</v>
      </c>
      <c r="AD12" s="5" t="str">
        <f>IFERROR(__xludf.DUMMYFUNCTION("""COMPUTED_VALUE"""),"Not Answered")</f>
        <v>Not Answered</v>
      </c>
      <c r="AE12" s="5" t="str">
        <f>IFERROR(__xludf.DUMMYFUNCTION("""COMPUTED_VALUE"""),"Litt fornøyd")</f>
        <v>Litt fornøyd</v>
      </c>
      <c r="AF12" s="5" t="str">
        <f>IFERROR(__xludf.DUMMYFUNCTION("""COMPUTED_VALUE"""),"Not Answered")</f>
        <v>Not Answered</v>
      </c>
      <c r="AG12" s="5" t="str">
        <f>IFERROR(__xludf.DUMMYFUNCTION("""COMPUTED_VALUE"""),"Litt fornøyd")</f>
        <v>Litt fornøyd</v>
      </c>
      <c r="AH12" s="5" t="str">
        <f>IFERROR(__xludf.DUMMYFUNCTION("""COMPUTED_VALUE"""),"Not Answered")</f>
        <v>Not Answered</v>
      </c>
      <c r="AI12" s="5" t="str">
        <f>IFERROR(__xludf.DUMMYFUNCTION("""COMPUTED_VALUE"""),"Litt fornøyd")</f>
        <v>Litt fornøyd</v>
      </c>
      <c r="AJ12" s="5" t="str">
        <f>IFERROR(__xludf.DUMMYFUNCTION("""COMPUTED_VALUE"""),"Not Answered")</f>
        <v>Not Answered</v>
      </c>
      <c r="AK12" s="5" t="str">
        <f>IFERROR(__xludf.DUMMYFUNCTION("""COMPUTED_VALUE"""),"2 - star")</f>
        <v>2 - star</v>
      </c>
      <c r="AL12" s="5" t="str">
        <f>IFERROR(__xludf.DUMMYFUNCTION("""COMPUTED_VALUE"""),"Not Answered")</f>
        <v>Not Answered</v>
      </c>
      <c r="AM12" s="5" t="str">
        <f>IFERROR(__xludf.DUMMYFUNCTION("""COMPUTED_VALUE"""),"Not Answered")</f>
        <v>Not Answered</v>
      </c>
      <c r="AN12" s="11">
        <f t="shared" si="3"/>
        <v>45210.44839</v>
      </c>
      <c r="AO12" s="5" t="str">
        <f t="shared" si="4"/>
        <v>Digitaliseringsdirektoratet</v>
      </c>
      <c r="AP12" s="5" t="str">
        <f>IFERROR(__xludf.DUMMYFUNCTION("if(ISNUMBER(A12),FILTER(O12:Z12,REGEXMATCH(O12:Z12, ""Not Answered"")=FALSE),)"),"Bjørn Aron Josefsen")</f>
        <v>Bjørn Aron Josefsen</v>
      </c>
      <c r="AQ12" s="5" t="str">
        <f>if(ISNUMBER($C12), VLOOKUP(AP12, konsulenter!$A$1:$B99,2,false),)</f>
        <v>#N/A</v>
      </c>
      <c r="AR12" s="10">
        <f>if(ISNUMBER($A12), VLOOKUP(AA12, mapping!$A$2:$B99,2,false),)</f>
        <v>4</v>
      </c>
      <c r="AS12" s="10" t="str">
        <f t="shared" si="5"/>
        <v>Høg kvalitet, men utfordrande samhandling. Kjent og akseptert</v>
      </c>
      <c r="AT12" s="10">
        <f>if(ISNUMBER($A12), VLOOKUP(AC12, mapping!$A$2:$B99,2,false),)</f>
        <v>5</v>
      </c>
      <c r="AU12" s="10" t="str">
        <f t="shared" si="6"/>
        <v>-</v>
      </c>
      <c r="AV12" s="10">
        <f>if(ISNUMBER($A12), VLOOKUP(AE12, mapping!$A$2:$B99,2,false),)</f>
        <v>4</v>
      </c>
      <c r="AW12" s="10" t="str">
        <f t="shared" si="7"/>
        <v>-</v>
      </c>
      <c r="AX12" s="10">
        <f>if(ISNUMBER($A12), VLOOKUP(AG12, mapping!$A$2:$B99,2,false),)</f>
        <v>4</v>
      </c>
      <c r="AY12" s="10" t="str">
        <f t="shared" si="8"/>
        <v>-</v>
      </c>
      <c r="AZ12" s="10">
        <f>if(ISNUMBER($A12), VLOOKUP(AI12, mapping!$A$2:$B99,2,false),)</f>
        <v>4</v>
      </c>
      <c r="BA12" s="10" t="str">
        <f t="shared" si="9"/>
        <v>-</v>
      </c>
      <c r="BB12" s="10">
        <f>if(ISNUMBER($A12), VLOOKUP(AK12, mapping!$A$2:$B99,2,false),)</f>
        <v>2</v>
      </c>
      <c r="BC12" s="10" t="str">
        <f t="shared" ref="BC12:BD12" si="19">if(ISNUMBER($A12), IF(AL12="Not Answered","-",AL12),)</f>
        <v>-</v>
      </c>
      <c r="BD12" s="10" t="str">
        <f t="shared" si="19"/>
        <v>-</v>
      </c>
    </row>
    <row r="13">
      <c r="A13" s="5">
        <f>IFERROR(__xludf.DUMMYFUNCTION("""COMPUTED_VALUE"""),1.14434120203E11)</f>
        <v>114434120203</v>
      </c>
      <c r="B13" s="11">
        <f>IFERROR(__xludf.DUMMYFUNCTION("""COMPUTED_VALUE"""),45210.60068287037)</f>
        <v>45210.60068</v>
      </c>
      <c r="C13" s="11">
        <f>IFERROR(__xludf.DUMMYFUNCTION("""COMPUTED_VALUE"""),45210.6096875)</f>
        <v>45210.60969</v>
      </c>
      <c r="D13" s="5" t="str">
        <f>IFERROR(__xludf.DUMMYFUNCTION("""COMPUTED_VALUE"""),"163.174.96.5")</f>
        <v>163.174.96.5</v>
      </c>
      <c r="E13" s="5">
        <f>IFERROR(__xludf.DUMMYFUNCTION("""COMPUTED_VALUE"""),777.0)</f>
        <v>777</v>
      </c>
      <c r="F13" s="5" t="str">
        <f>IFERROR(__xludf.DUMMYFUNCTION("""COMPUTED_VALUE"""),"completed")</f>
        <v>completed</v>
      </c>
      <c r="G13" s="5" t="str">
        <f>IFERROR(__xludf.DUMMYFUNCTION("""COMPUTED_VALUE"""),"Not Answered")</f>
        <v>Not Answered</v>
      </c>
      <c r="H13" s="5" t="str">
        <f>IFERROR(__xludf.DUMMYFUNCTION("""COMPUTED_VALUE"""),"Not Answered")</f>
        <v>Not Answered</v>
      </c>
      <c r="I13" s="5" t="str">
        <f>IFERROR(__xludf.DUMMYFUNCTION("""COMPUTED_VALUE"""),"Not Answered")</f>
        <v>Not Answered</v>
      </c>
      <c r="J13" s="5">
        <f>IFERROR(__xludf.DUMMYFUNCTION("""COMPUTED_VALUE"""),4.27944757E8)</f>
        <v>427944757</v>
      </c>
      <c r="K13" s="5" t="str">
        <f>IFERROR(__xludf.DUMMYFUNCTION("""COMPUTED_VALUE"""),"weblink")</f>
        <v>weblink</v>
      </c>
      <c r="L13" s="5" t="str">
        <f>IFERROR(__xludf.DUMMYFUNCTION("""COMPUTED_VALUE"""),"Not Answered")</f>
        <v>Not Answered</v>
      </c>
      <c r="M13" s="5" t="str">
        <f>IFERROR(__xludf.DUMMYFUNCTION("""COMPUTED_VALUE"""),"Not Answered")</f>
        <v>Not Answered</v>
      </c>
      <c r="N13" s="5" t="str">
        <f>IFERROR(__xludf.DUMMYFUNCTION("""COMPUTED_VALUE"""),"Politiet")</f>
        <v>Politiet</v>
      </c>
      <c r="O13" s="5" t="str">
        <f>IFERROR(__xludf.DUMMYFUNCTION("""COMPUTED_VALUE"""),"Not Answered")</f>
        <v>Not Answered</v>
      </c>
      <c r="P13" s="5" t="str">
        <f>IFERROR(__xludf.DUMMYFUNCTION("""COMPUTED_VALUE"""),"Not Answered")</f>
        <v>Not Answered</v>
      </c>
      <c r="Q13" s="5" t="str">
        <f>IFERROR(__xludf.DUMMYFUNCTION("""COMPUTED_VALUE"""),"Not Answered")</f>
        <v>Not Answered</v>
      </c>
      <c r="R13" s="5" t="str">
        <f>IFERROR(__xludf.DUMMYFUNCTION("""COMPUTED_VALUE"""),"Not Answered")</f>
        <v>Not Answered</v>
      </c>
      <c r="S13" s="5" t="str">
        <f>IFERROR(__xludf.DUMMYFUNCTION("""COMPUTED_VALUE"""),"Not Answered")</f>
        <v>Not Answered</v>
      </c>
      <c r="T13" s="5" t="str">
        <f>IFERROR(__xludf.DUMMYFUNCTION("""COMPUTED_VALUE"""),"Not Answered")</f>
        <v>Not Answered</v>
      </c>
      <c r="U13" s="5" t="str">
        <f>IFERROR(__xludf.DUMMYFUNCTION("""COMPUTED_VALUE"""),"Frode Rystad")</f>
        <v>Frode Rystad</v>
      </c>
      <c r="V13" s="5" t="str">
        <f>IFERROR(__xludf.DUMMYFUNCTION("""COMPUTED_VALUE"""),"Not Answered")</f>
        <v>Not Answered</v>
      </c>
      <c r="W13" s="5" t="str">
        <f>IFERROR(__xludf.DUMMYFUNCTION("""COMPUTED_VALUE"""),"Not Answered")</f>
        <v>Not Answered</v>
      </c>
      <c r="X13" s="5" t="str">
        <f>IFERROR(__xludf.DUMMYFUNCTION("""COMPUTED_VALUE"""),"Not Answered")</f>
        <v>Not Answered</v>
      </c>
      <c r="Y13" s="5" t="str">
        <f>IFERROR(__xludf.DUMMYFUNCTION("""COMPUTED_VALUE"""),"Not Answered")</f>
        <v>Not Answered</v>
      </c>
      <c r="Z13" s="5" t="str">
        <f>IFERROR(__xludf.DUMMYFUNCTION("""COMPUTED_VALUE"""),"Not Answered")</f>
        <v>Not Answered</v>
      </c>
      <c r="AA13" s="5" t="str">
        <f>IFERROR(__xludf.DUMMYFUNCTION("""COMPUTED_VALUE"""),"Svært fornøyd")</f>
        <v>Svært fornøyd</v>
      </c>
      <c r="AB13" s="5" t="str">
        <f>IFERROR(__xludf.DUMMYFUNCTION("""COMPUTED_VALUE"""),"Frode tar tak i nye oppgaver med stor iver. Han involverer andre i teamet i sine oppgaver ved behov og deler av sin kompetanse slik at andre i teamet har fremdrift. Videre bidrar Frode i forbedringer i hvordan teamet jobber med utvikling/forvaltning av ko"&amp;"de.")</f>
        <v>Frode tar tak i nye oppgaver med stor iver. Han involverer andre i teamet i sine oppgaver ved behov og deler av sin kompetanse slik at andre i teamet har fremdrift. Videre bidrar Frode i forbedringer i hvordan teamet jobber med utvikling/forvaltning av kode.</v>
      </c>
      <c r="AC13" s="5" t="str">
        <f>IFERROR(__xludf.DUMMYFUNCTION("""COMPUTED_VALUE"""),"I stor grad")</f>
        <v>I stor grad</v>
      </c>
      <c r="AD13" s="5" t="str">
        <f>IFERROR(__xludf.DUMMYFUNCTION("""COMPUTED_VALUE"""),"Frode har kompetansen vi trenger.")</f>
        <v>Frode har kompetansen vi trenger.</v>
      </c>
      <c r="AE13" s="5" t="str">
        <f>IFERROR(__xludf.DUMMYFUNCTION("""COMPUTED_VALUE"""),"Svært fornøyd")</f>
        <v>Svært fornøyd</v>
      </c>
      <c r="AF13" s="5" t="str">
        <f>IFERROR(__xludf.DUMMYFUNCTION("""COMPUTED_VALUE"""),"Frode deler gjerne sin kompetanse i teamet og til andre team.")</f>
        <v>Frode deler gjerne sin kompetanse i teamet og til andre team.</v>
      </c>
      <c r="AG13" s="5" t="str">
        <f>IFERROR(__xludf.DUMMYFUNCTION("""COMPUTED_VALUE"""),"Svært fornøyd")</f>
        <v>Svært fornøyd</v>
      </c>
      <c r="AH13" s="5" t="str">
        <f>IFERROR(__xludf.DUMMYFUNCTION("""COMPUTED_VALUE"""),"Frode fungerer veldig bra i teamet og samhandler godt med andre i teamet og med andre team.")</f>
        <v>Frode fungerer veldig bra i teamet og samhandler godt med andre i teamet og med andre team.</v>
      </c>
      <c r="AI13" s="5" t="str">
        <f>IFERROR(__xludf.DUMMYFUNCTION("""COMPUTED_VALUE"""),"Not Answered")</f>
        <v>Not Answered</v>
      </c>
      <c r="AJ13" s="5" t="str">
        <f>IFERROR(__xludf.DUMMYFUNCTION("""COMPUTED_VALUE"""),"Not Answered")</f>
        <v>Not Answered</v>
      </c>
      <c r="AK13" s="5" t="str">
        <f>IFERROR(__xludf.DUMMYFUNCTION("""COMPUTED_VALUE"""),"4 - star")</f>
        <v>4 - star</v>
      </c>
      <c r="AL13" s="5" t="str">
        <f>IFERROR(__xludf.DUMMYFUNCTION("""COMPUTED_VALUE"""),"Not Answered")</f>
        <v>Not Answered</v>
      </c>
      <c r="AM13" s="5" t="str">
        <f>IFERROR(__xludf.DUMMYFUNCTION("""COMPUTED_VALUE"""),"Not Answered")</f>
        <v>Not Answered</v>
      </c>
      <c r="AN13" s="11">
        <f t="shared" si="3"/>
        <v>45210.60068</v>
      </c>
      <c r="AO13" s="5" t="str">
        <f t="shared" si="4"/>
        <v>Politiet</v>
      </c>
      <c r="AP13" s="5" t="str">
        <f>IFERROR(__xludf.DUMMYFUNCTION("if(ISNUMBER(A13),FILTER(O13:Z13,REGEXMATCH(O13:Z13, ""Not Answered"")=FALSE),)"),"Frode Rystad")</f>
        <v>Frode Rystad</v>
      </c>
      <c r="AQ13" s="5" t="str">
        <f>if(ISNUMBER($C13), VLOOKUP(AP13, konsulenter!$A$1:$B99,2,false),)</f>
        <v>#N/A</v>
      </c>
      <c r="AR13" s="10">
        <f>if(ISNUMBER($A13), VLOOKUP(AA13, mapping!$A$2:$B99,2,false),)</f>
        <v>6</v>
      </c>
      <c r="AS13" s="10" t="str">
        <f t="shared" si="5"/>
        <v>Frode tar tak i nye oppgaver med stor iver. Han involverer andre i teamet i sine oppgaver ved behov og deler av sin kompetanse slik at andre i teamet har fremdrift. Videre bidrar Frode i forbedringer i hvordan teamet jobber med utvikling/forvaltning av kode.</v>
      </c>
      <c r="AT13" s="10">
        <f>if(ISNUMBER($A13), VLOOKUP(AC13, mapping!$A$2:$B99,2,false),)</f>
        <v>6</v>
      </c>
      <c r="AU13" s="10" t="str">
        <f t="shared" si="6"/>
        <v>Frode har kompetansen vi trenger.</v>
      </c>
      <c r="AV13" s="10">
        <f>if(ISNUMBER($A13), VLOOKUP(AE13, mapping!$A$2:$B99,2,false),)</f>
        <v>6</v>
      </c>
      <c r="AW13" s="10" t="str">
        <f t="shared" si="7"/>
        <v>Frode deler gjerne sin kompetanse i teamet og til andre team.</v>
      </c>
      <c r="AX13" s="10">
        <f>if(ISNUMBER($A13), VLOOKUP(AG13, mapping!$A$2:$B99,2,false),)</f>
        <v>6</v>
      </c>
      <c r="AY13" s="10" t="str">
        <f t="shared" si="8"/>
        <v>Frode fungerer veldig bra i teamet og samhandler godt med andre i teamet og med andre team.</v>
      </c>
      <c r="AZ13" s="10" t="str">
        <f>if(ISNUMBER($A13), VLOOKUP(AI13, mapping!$A$2:$B99,2,false),)</f>
        <v/>
      </c>
      <c r="BA13" s="10" t="str">
        <f t="shared" si="9"/>
        <v>-</v>
      </c>
      <c r="BB13" s="10">
        <f>if(ISNUMBER($A13), VLOOKUP(AK13, mapping!$A$2:$B99,2,false),)</f>
        <v>4</v>
      </c>
      <c r="BC13" s="10" t="str">
        <f t="shared" ref="BC13:BD13" si="20">if(ISNUMBER($A13), IF(AL13="Not Answered","-",AL13),)</f>
        <v>-</v>
      </c>
      <c r="BD13" s="10" t="str">
        <f t="shared" si="20"/>
        <v>-</v>
      </c>
    </row>
    <row r="14">
      <c r="A14" s="5">
        <f>IFERROR(__xludf.DUMMYFUNCTION("""COMPUTED_VALUE"""),1.14434128509E11)</f>
        <v>114434128509</v>
      </c>
      <c r="B14" s="11">
        <f>IFERROR(__xludf.DUMMYFUNCTION("""COMPUTED_VALUE"""),45210.61046296296)</f>
        <v>45210.61046</v>
      </c>
      <c r="C14" s="11">
        <f>IFERROR(__xludf.DUMMYFUNCTION("""COMPUTED_VALUE"""),45210.61174768519)</f>
        <v>45210.61175</v>
      </c>
      <c r="D14" s="5" t="str">
        <f>IFERROR(__xludf.DUMMYFUNCTION("""COMPUTED_VALUE"""),"163.174.98.40")</f>
        <v>163.174.98.40</v>
      </c>
      <c r="E14" s="5">
        <f>IFERROR(__xludf.DUMMYFUNCTION("""COMPUTED_VALUE"""),111.0)</f>
        <v>111</v>
      </c>
      <c r="F14" s="5" t="str">
        <f>IFERROR(__xludf.DUMMYFUNCTION("""COMPUTED_VALUE"""),"completed")</f>
        <v>completed</v>
      </c>
      <c r="G14" s="5" t="str">
        <f>IFERROR(__xludf.DUMMYFUNCTION("""COMPUTED_VALUE"""),"Not Answered")</f>
        <v>Not Answered</v>
      </c>
      <c r="H14" s="5" t="str">
        <f>IFERROR(__xludf.DUMMYFUNCTION("""COMPUTED_VALUE"""),"Not Answered")</f>
        <v>Not Answered</v>
      </c>
      <c r="I14" s="5" t="str">
        <f>IFERROR(__xludf.DUMMYFUNCTION("""COMPUTED_VALUE"""),"Not Answered")</f>
        <v>Not Answered</v>
      </c>
      <c r="J14" s="5">
        <f>IFERROR(__xludf.DUMMYFUNCTION("""COMPUTED_VALUE"""),4.27944757E8)</f>
        <v>427944757</v>
      </c>
      <c r="K14" s="5" t="str">
        <f>IFERROR(__xludf.DUMMYFUNCTION("""COMPUTED_VALUE"""),"weblink")</f>
        <v>weblink</v>
      </c>
      <c r="L14" s="5" t="str">
        <f>IFERROR(__xludf.DUMMYFUNCTION("""COMPUTED_VALUE"""),"Not Answered")</f>
        <v>Not Answered</v>
      </c>
      <c r="M14" s="5" t="str">
        <f>IFERROR(__xludf.DUMMYFUNCTION("""COMPUTED_VALUE"""),"Not Answered")</f>
        <v>Not Answered</v>
      </c>
      <c r="N14" s="5" t="str">
        <f>IFERROR(__xludf.DUMMYFUNCTION("""COMPUTED_VALUE"""),"Politiet")</f>
        <v>Politiet</v>
      </c>
      <c r="O14" s="5" t="str">
        <f>IFERROR(__xludf.DUMMYFUNCTION("""COMPUTED_VALUE"""),"Not Answered")</f>
        <v>Not Answered</v>
      </c>
      <c r="P14" s="5" t="str">
        <f>IFERROR(__xludf.DUMMYFUNCTION("""COMPUTED_VALUE"""),"Not Answered")</f>
        <v>Not Answered</v>
      </c>
      <c r="Q14" s="5" t="str">
        <f>IFERROR(__xludf.DUMMYFUNCTION("""COMPUTED_VALUE"""),"Not Answered")</f>
        <v>Not Answered</v>
      </c>
      <c r="R14" s="5" t="str">
        <f>IFERROR(__xludf.DUMMYFUNCTION("""COMPUTED_VALUE"""),"Not Answered")</f>
        <v>Not Answered</v>
      </c>
      <c r="S14" s="5" t="str">
        <f>IFERROR(__xludf.DUMMYFUNCTION("""COMPUTED_VALUE"""),"Not Answered")</f>
        <v>Not Answered</v>
      </c>
      <c r="T14" s="5" t="str">
        <f>IFERROR(__xludf.DUMMYFUNCTION("""COMPUTED_VALUE"""),"Not Answered")</f>
        <v>Not Answered</v>
      </c>
      <c r="U14" s="5" t="str">
        <f>IFERROR(__xludf.DUMMYFUNCTION("""COMPUTED_VALUE"""),"Thomas Hansen")</f>
        <v>Thomas Hansen</v>
      </c>
      <c r="V14" s="5" t="str">
        <f>IFERROR(__xludf.DUMMYFUNCTION("""COMPUTED_VALUE"""),"Not Answered")</f>
        <v>Not Answered</v>
      </c>
      <c r="W14" s="5" t="str">
        <f>IFERROR(__xludf.DUMMYFUNCTION("""COMPUTED_VALUE"""),"Not Answered")</f>
        <v>Not Answered</v>
      </c>
      <c r="X14" s="5" t="str">
        <f>IFERROR(__xludf.DUMMYFUNCTION("""COMPUTED_VALUE"""),"Not Answered")</f>
        <v>Not Answered</v>
      </c>
      <c r="Y14" s="5" t="str">
        <f>IFERROR(__xludf.DUMMYFUNCTION("""COMPUTED_VALUE"""),"Not Answered")</f>
        <v>Not Answered</v>
      </c>
      <c r="Z14" s="5" t="str">
        <f>IFERROR(__xludf.DUMMYFUNCTION("""COMPUTED_VALUE"""),"Not Answered")</f>
        <v>Not Answered</v>
      </c>
      <c r="AA14" s="5" t="str">
        <f>IFERROR(__xludf.DUMMYFUNCTION("""COMPUTED_VALUE"""),"Svært fornøyd")</f>
        <v>Svært fornøyd</v>
      </c>
      <c r="AB14" s="5" t="str">
        <f>IFERROR(__xludf.DUMMYFUNCTION("""COMPUTED_VALUE"""),"Not Answered")</f>
        <v>Not Answered</v>
      </c>
      <c r="AC14" s="5" t="str">
        <f>IFERROR(__xludf.DUMMYFUNCTION("""COMPUTED_VALUE"""),"I stor grad")</f>
        <v>I stor grad</v>
      </c>
      <c r="AD14" s="5" t="str">
        <f>IFERROR(__xludf.DUMMYFUNCTION("""COMPUTED_VALUE"""),"Not Answered")</f>
        <v>Not Answered</v>
      </c>
      <c r="AE14" s="5" t="str">
        <f>IFERROR(__xludf.DUMMYFUNCTION("""COMPUTED_VALUE"""),"Ganske fornøyd ")</f>
        <v>Ganske fornøyd </v>
      </c>
      <c r="AF14" s="5" t="str">
        <f>IFERROR(__xludf.DUMMYFUNCTION("""COMPUTED_VALUE"""),"Skulle ønske han tok noe mer ansvar knyttet til dette som Tech Lead i prosjektet")</f>
        <v>Skulle ønske han tok noe mer ansvar knyttet til dette som Tech Lead i prosjektet</v>
      </c>
      <c r="AG14" s="5" t="str">
        <f>IFERROR(__xludf.DUMMYFUNCTION("""COMPUTED_VALUE"""),"Svært fornøyd")</f>
        <v>Svært fornøyd</v>
      </c>
      <c r="AH14" s="5" t="str">
        <f>IFERROR(__xludf.DUMMYFUNCTION("""COMPUTED_VALUE"""),"Not Answered")</f>
        <v>Not Answered</v>
      </c>
      <c r="AI14" s="5" t="str">
        <f>IFERROR(__xludf.DUMMYFUNCTION("""COMPUTED_VALUE"""),"Not Answered")</f>
        <v>Not Answered</v>
      </c>
      <c r="AJ14" s="5" t="str">
        <f>IFERROR(__xludf.DUMMYFUNCTION("""COMPUTED_VALUE"""),"Not Answered")</f>
        <v>Not Answered</v>
      </c>
      <c r="AK14" s="5" t="str">
        <f>IFERROR(__xludf.DUMMYFUNCTION("""COMPUTED_VALUE"""),"5 - star")</f>
        <v>5 - star</v>
      </c>
      <c r="AL14" s="5" t="str">
        <f>IFERROR(__xludf.DUMMYFUNCTION("""COMPUTED_VALUE"""),"Not Answered")</f>
        <v>Not Answered</v>
      </c>
      <c r="AM14" s="5" t="str">
        <f>IFERROR(__xludf.DUMMYFUNCTION("""COMPUTED_VALUE"""),"Not Answered")</f>
        <v>Not Answered</v>
      </c>
      <c r="AN14" s="11">
        <f t="shared" si="3"/>
        <v>45210.61046</v>
      </c>
      <c r="AO14" s="5" t="str">
        <f t="shared" si="4"/>
        <v>Politiet</v>
      </c>
      <c r="AP14" s="5" t="str">
        <f>IFERROR(__xludf.DUMMYFUNCTION("if(ISNUMBER(A14),FILTER(O14:Z14,REGEXMATCH(O14:Z14, ""Not Answered"")=FALSE),)"),"Thomas Hansen")</f>
        <v>Thomas Hansen</v>
      </c>
      <c r="AQ14" s="5" t="str">
        <f>if(ISNUMBER($C14), VLOOKUP(AP14, konsulenter!$A$1:$B99,2,false),)</f>
        <v>#N/A</v>
      </c>
      <c r="AR14" s="10">
        <f>if(ISNUMBER($A14), VLOOKUP(AA14, mapping!$A$2:$B99,2,false),)</f>
        <v>6</v>
      </c>
      <c r="AS14" s="10" t="str">
        <f t="shared" si="5"/>
        <v>-</v>
      </c>
      <c r="AT14" s="10">
        <f>if(ISNUMBER($A14), VLOOKUP(AC14, mapping!$A$2:$B99,2,false),)</f>
        <v>6</v>
      </c>
      <c r="AU14" s="10" t="str">
        <f t="shared" si="6"/>
        <v>-</v>
      </c>
      <c r="AV14" s="10">
        <f>if(ISNUMBER($A14), VLOOKUP(AE14, mapping!$A$2:$B99,2,false),)</f>
        <v>5</v>
      </c>
      <c r="AW14" s="10" t="str">
        <f t="shared" si="7"/>
        <v>Skulle ønske han tok noe mer ansvar knyttet til dette som Tech Lead i prosjektet</v>
      </c>
      <c r="AX14" s="10">
        <f>if(ISNUMBER($A14), VLOOKUP(AG14, mapping!$A$2:$B99,2,false),)</f>
        <v>6</v>
      </c>
      <c r="AY14" s="10" t="str">
        <f t="shared" si="8"/>
        <v>-</v>
      </c>
      <c r="AZ14" s="10" t="str">
        <f>if(ISNUMBER($A14), VLOOKUP(AI14, mapping!$A$2:$B99,2,false),)</f>
        <v/>
      </c>
      <c r="BA14" s="10" t="str">
        <f t="shared" si="9"/>
        <v>-</v>
      </c>
      <c r="BB14" s="10">
        <f>if(ISNUMBER($A14), VLOOKUP(AK14, mapping!$A$2:$B99,2,false),)</f>
        <v>5</v>
      </c>
      <c r="BC14" s="10" t="str">
        <f t="shared" ref="BC14:BD14" si="21">if(ISNUMBER($A14), IF(AL14="Not Answered","-",AL14),)</f>
        <v>-</v>
      </c>
      <c r="BD14" s="10" t="str">
        <f t="shared" si="21"/>
        <v>-</v>
      </c>
    </row>
    <row r="15">
      <c r="A15" s="5">
        <f>IFERROR(__xludf.DUMMYFUNCTION("""COMPUTED_VALUE"""),1.14434127719E11)</f>
        <v>114434127719</v>
      </c>
      <c r="B15" s="11">
        <f>IFERROR(__xludf.DUMMYFUNCTION("""COMPUTED_VALUE"""),45210.609918981485)</f>
        <v>45210.60992</v>
      </c>
      <c r="C15" s="11">
        <f>IFERROR(__xludf.DUMMYFUNCTION("""COMPUTED_VALUE"""),45210.61561342592)</f>
        <v>45210.61561</v>
      </c>
      <c r="D15" s="5" t="str">
        <f>IFERROR(__xludf.DUMMYFUNCTION("""COMPUTED_VALUE"""),"163.174.96.5")</f>
        <v>163.174.96.5</v>
      </c>
      <c r="E15" s="5">
        <f>IFERROR(__xludf.DUMMYFUNCTION("""COMPUTED_VALUE"""),492.0)</f>
        <v>492</v>
      </c>
      <c r="F15" s="5" t="str">
        <f>IFERROR(__xludf.DUMMYFUNCTION("""COMPUTED_VALUE"""),"completed")</f>
        <v>completed</v>
      </c>
      <c r="G15" s="5" t="str">
        <f>IFERROR(__xludf.DUMMYFUNCTION("""COMPUTED_VALUE"""),"Not Answered")</f>
        <v>Not Answered</v>
      </c>
      <c r="H15" s="5" t="str">
        <f>IFERROR(__xludf.DUMMYFUNCTION("""COMPUTED_VALUE"""),"Not Answered")</f>
        <v>Not Answered</v>
      </c>
      <c r="I15" s="5" t="str">
        <f>IFERROR(__xludf.DUMMYFUNCTION("""COMPUTED_VALUE"""),"Not Answered")</f>
        <v>Not Answered</v>
      </c>
      <c r="J15" s="5">
        <f>IFERROR(__xludf.DUMMYFUNCTION("""COMPUTED_VALUE"""),4.27944757E8)</f>
        <v>427944757</v>
      </c>
      <c r="K15" s="5" t="str">
        <f>IFERROR(__xludf.DUMMYFUNCTION("""COMPUTED_VALUE"""),"weblink")</f>
        <v>weblink</v>
      </c>
      <c r="L15" s="5" t="str">
        <f>IFERROR(__xludf.DUMMYFUNCTION("""COMPUTED_VALUE"""),"Not Answered")</f>
        <v>Not Answered</v>
      </c>
      <c r="M15" s="5" t="str">
        <f>IFERROR(__xludf.DUMMYFUNCTION("""COMPUTED_VALUE"""),"Not Answered")</f>
        <v>Not Answered</v>
      </c>
      <c r="N15" s="5" t="str">
        <f>IFERROR(__xludf.DUMMYFUNCTION("""COMPUTED_VALUE"""),"Politiet")</f>
        <v>Politiet</v>
      </c>
      <c r="O15" s="5" t="str">
        <f>IFERROR(__xludf.DUMMYFUNCTION("""COMPUTED_VALUE"""),"Not Answered")</f>
        <v>Not Answered</v>
      </c>
      <c r="P15" s="5" t="str">
        <f>IFERROR(__xludf.DUMMYFUNCTION("""COMPUTED_VALUE"""),"Not Answered")</f>
        <v>Not Answered</v>
      </c>
      <c r="Q15" s="5" t="str">
        <f>IFERROR(__xludf.DUMMYFUNCTION("""COMPUTED_VALUE"""),"Not Answered")</f>
        <v>Not Answered</v>
      </c>
      <c r="R15" s="5" t="str">
        <f>IFERROR(__xludf.DUMMYFUNCTION("""COMPUTED_VALUE"""),"Not Answered")</f>
        <v>Not Answered</v>
      </c>
      <c r="S15" s="5" t="str">
        <f>IFERROR(__xludf.DUMMYFUNCTION("""COMPUTED_VALUE"""),"Not Answered")</f>
        <v>Not Answered</v>
      </c>
      <c r="T15" s="5" t="str">
        <f>IFERROR(__xludf.DUMMYFUNCTION("""COMPUTED_VALUE"""),"Not Answered")</f>
        <v>Not Answered</v>
      </c>
      <c r="U15" s="5" t="str">
        <f>IFERROR(__xludf.DUMMYFUNCTION("""COMPUTED_VALUE"""),"Georg Lundesgaard")</f>
        <v>Georg Lundesgaard</v>
      </c>
      <c r="V15" s="5" t="str">
        <f>IFERROR(__xludf.DUMMYFUNCTION("""COMPUTED_VALUE"""),"Not Answered")</f>
        <v>Not Answered</v>
      </c>
      <c r="W15" s="5" t="str">
        <f>IFERROR(__xludf.DUMMYFUNCTION("""COMPUTED_VALUE"""),"Not Answered")</f>
        <v>Not Answered</v>
      </c>
      <c r="X15" s="5" t="str">
        <f>IFERROR(__xludf.DUMMYFUNCTION("""COMPUTED_VALUE"""),"Not Answered")</f>
        <v>Not Answered</v>
      </c>
      <c r="Y15" s="5" t="str">
        <f>IFERROR(__xludf.DUMMYFUNCTION("""COMPUTED_VALUE"""),"Not Answered")</f>
        <v>Not Answered</v>
      </c>
      <c r="Z15" s="5" t="str">
        <f>IFERROR(__xludf.DUMMYFUNCTION("""COMPUTED_VALUE"""),"Not Answered")</f>
        <v>Not Answered</v>
      </c>
      <c r="AA15" s="5" t="str">
        <f>IFERROR(__xludf.DUMMYFUNCTION("""COMPUTED_VALUE"""),"Svært fornøyd")</f>
        <v>Svært fornøyd</v>
      </c>
      <c r="AB15" s="5" t="str">
        <f>IFERROR(__xludf.DUMMYFUNCTION("""COMPUTED_VALUE"""),"Georg ble satt til en spesifikk produkt/oppgave som følge av sin kompetanse. Denne kompetanse og Georgs generelle kompetanse har og er nyttig for fremdrift på oppgaver i teamet. ")</f>
        <v>Georg ble satt til en spesifikk produkt/oppgave som følge av sin kompetanse. Denne kompetanse og Georgs generelle kompetanse har og er nyttig for fremdrift på oppgaver i teamet. </v>
      </c>
      <c r="AC15" s="5" t="str">
        <f>IFERROR(__xludf.DUMMYFUNCTION("""COMPUTED_VALUE"""),"I stor grad")</f>
        <v>I stor grad</v>
      </c>
      <c r="AD15" s="5" t="str">
        <f>IFERROR(__xludf.DUMMYFUNCTION("""COMPUTED_VALUE"""),"Ja, Georg kan teknologien og har kompetanse vi har behov for. ")</f>
        <v>Ja, Georg kan teknologien og har kompetanse vi har behov for. </v>
      </c>
      <c r="AE15" s="5" t="str">
        <f>IFERROR(__xludf.DUMMYFUNCTION("""COMPUTED_VALUE"""),"Svært fornøyd")</f>
        <v>Svært fornøyd</v>
      </c>
      <c r="AF15" s="5" t="str">
        <f>IFERROR(__xludf.DUMMYFUNCTION("""COMPUTED_VALUE"""),"Georg bidrar aktivt i diskusjoner og deler sin kompetanse.")</f>
        <v>Georg bidrar aktivt i diskusjoner og deler sin kompetanse.</v>
      </c>
      <c r="AG15" s="5" t="str">
        <f>IFERROR(__xludf.DUMMYFUNCTION("""COMPUTED_VALUE"""),"Svært fornøyd")</f>
        <v>Svært fornøyd</v>
      </c>
      <c r="AH15" s="5" t="str">
        <f>IFERROR(__xludf.DUMMYFUNCTION("""COMPUTED_VALUE"""),"Georg fungerer veldig bra i teamet og samhandler godt med andre i teamet.")</f>
        <v>Georg fungerer veldig bra i teamet og samhandler godt med andre i teamet.</v>
      </c>
      <c r="AI15" s="5" t="str">
        <f>IFERROR(__xludf.DUMMYFUNCTION("""COMPUTED_VALUE"""),"Not Answered")</f>
        <v>Not Answered</v>
      </c>
      <c r="AJ15" s="5" t="str">
        <f>IFERROR(__xludf.DUMMYFUNCTION("""COMPUTED_VALUE"""),"Not Answered")</f>
        <v>Not Answered</v>
      </c>
      <c r="AK15" s="5" t="str">
        <f>IFERROR(__xludf.DUMMYFUNCTION("""COMPUTED_VALUE"""),"4 - star")</f>
        <v>4 - star</v>
      </c>
      <c r="AL15" s="5" t="str">
        <f>IFERROR(__xludf.DUMMYFUNCTION("""COMPUTED_VALUE"""),"Not Answered")</f>
        <v>Not Answered</v>
      </c>
      <c r="AM15" s="5" t="str">
        <f>IFERROR(__xludf.DUMMYFUNCTION("""COMPUTED_VALUE"""),"Not Answered")</f>
        <v>Not Answered</v>
      </c>
      <c r="AN15" s="11">
        <f t="shared" si="3"/>
        <v>45210.60992</v>
      </c>
      <c r="AO15" s="5" t="str">
        <f t="shared" si="4"/>
        <v>Politiet</v>
      </c>
      <c r="AP15" s="5" t="str">
        <f>IFERROR(__xludf.DUMMYFUNCTION("if(ISNUMBER(A15),FILTER(O15:Z15,REGEXMATCH(O15:Z15, ""Not Answered"")=FALSE),)"),"Georg Lundesgaard")</f>
        <v>Georg Lundesgaard</v>
      </c>
      <c r="AQ15" s="5" t="str">
        <f>if(ISNUMBER($C15), VLOOKUP(AP15, konsulenter!$A$1:$B99,2,false),)</f>
        <v>georg@jpro.no</v>
      </c>
      <c r="AR15" s="10">
        <f>if(ISNUMBER($A15), VLOOKUP(AA15, mapping!$A$2:$B99,2,false),)</f>
        <v>6</v>
      </c>
      <c r="AS15" s="10" t="str">
        <f t="shared" si="5"/>
        <v>Georg ble satt til en spesifikk produkt/oppgave som følge av sin kompetanse. Denne kompetanse og Georgs generelle kompetanse har og er nyttig for fremdrift på oppgaver i teamet. </v>
      </c>
      <c r="AT15" s="10">
        <f>if(ISNUMBER($A15), VLOOKUP(AC15, mapping!$A$2:$B99,2,false),)</f>
        <v>6</v>
      </c>
      <c r="AU15" s="10" t="str">
        <f t="shared" si="6"/>
        <v>Ja, Georg kan teknologien og har kompetanse vi har behov for. </v>
      </c>
      <c r="AV15" s="10">
        <f>if(ISNUMBER($A15), VLOOKUP(AE15, mapping!$A$2:$B99,2,false),)</f>
        <v>6</v>
      </c>
      <c r="AW15" s="10" t="str">
        <f t="shared" si="7"/>
        <v>Georg bidrar aktivt i diskusjoner og deler sin kompetanse.</v>
      </c>
      <c r="AX15" s="10">
        <f>if(ISNUMBER($A15), VLOOKUP(AG15, mapping!$A$2:$B99,2,false),)</f>
        <v>6</v>
      </c>
      <c r="AY15" s="10" t="str">
        <f t="shared" si="8"/>
        <v>Georg fungerer veldig bra i teamet og samhandler godt med andre i teamet.</v>
      </c>
      <c r="AZ15" s="10" t="str">
        <f>if(ISNUMBER($A15), VLOOKUP(AI15, mapping!$A$2:$B99,2,false),)</f>
        <v/>
      </c>
      <c r="BA15" s="10" t="str">
        <f t="shared" si="9"/>
        <v>-</v>
      </c>
      <c r="BB15" s="10">
        <f>if(ISNUMBER($A15), VLOOKUP(AK15, mapping!$A$2:$B99,2,false),)</f>
        <v>4</v>
      </c>
      <c r="BC15" s="10" t="str">
        <f t="shared" ref="BC15:BD15" si="22">if(ISNUMBER($A15), IF(AL15="Not Answered","-",AL15),)</f>
        <v>-</v>
      </c>
      <c r="BD15" s="10" t="str">
        <f t="shared" si="22"/>
        <v>-</v>
      </c>
    </row>
    <row r="16">
      <c r="A16" s="5">
        <f>IFERROR(__xludf.DUMMYFUNCTION("""COMPUTED_VALUE"""),1.1444810186E11)</f>
        <v>114448101860</v>
      </c>
      <c r="B16" s="11">
        <f>IFERROR(__xludf.DUMMYFUNCTION("""COMPUTED_VALUE"""),45226.79342592593)</f>
        <v>45226.79343</v>
      </c>
      <c r="C16" s="11">
        <f>IFERROR(__xludf.DUMMYFUNCTION("""COMPUTED_VALUE"""),45226.79622685185)</f>
        <v>45226.79623</v>
      </c>
      <c r="D16" s="5" t="str">
        <f>IFERROR(__xludf.DUMMYFUNCTION("""COMPUTED_VALUE"""),"77.18.53.128")</f>
        <v>77.18.53.128</v>
      </c>
      <c r="E16" s="5">
        <f>IFERROR(__xludf.DUMMYFUNCTION("""COMPUTED_VALUE"""),241.0)</f>
        <v>241</v>
      </c>
      <c r="F16" s="5" t="str">
        <f>IFERROR(__xludf.DUMMYFUNCTION("""COMPUTED_VALUE"""),"completed")</f>
        <v>completed</v>
      </c>
      <c r="G16" s="5" t="str">
        <f>IFERROR(__xludf.DUMMYFUNCTION("""COMPUTED_VALUE"""),"Not Answered")</f>
        <v>Not Answered</v>
      </c>
      <c r="H16" s="5" t="str">
        <f>IFERROR(__xludf.DUMMYFUNCTION("""COMPUTED_VALUE"""),"Not Answered")</f>
        <v>Not Answered</v>
      </c>
      <c r="I16" s="5" t="str">
        <f>IFERROR(__xludf.DUMMYFUNCTION("""COMPUTED_VALUE"""),"Not Answered")</f>
        <v>Not Answered</v>
      </c>
      <c r="J16" s="5">
        <f>IFERROR(__xludf.DUMMYFUNCTION("""COMPUTED_VALUE"""),4.27944757E8)</f>
        <v>427944757</v>
      </c>
      <c r="K16" s="5" t="str">
        <f>IFERROR(__xludf.DUMMYFUNCTION("""COMPUTED_VALUE"""),"weblink")</f>
        <v>weblink</v>
      </c>
      <c r="L16" s="5" t="str">
        <f>IFERROR(__xludf.DUMMYFUNCTION("""COMPUTED_VALUE"""),"Not Answered")</f>
        <v>Not Answered</v>
      </c>
      <c r="M16" s="5" t="str">
        <f>IFERROR(__xludf.DUMMYFUNCTION("""COMPUTED_VALUE"""),"Not Answered")</f>
        <v>Not Answered</v>
      </c>
      <c r="N16" s="5" t="str">
        <f>IFERROR(__xludf.DUMMYFUNCTION("""COMPUTED_VALUE"""),"Statnett")</f>
        <v>Statnett</v>
      </c>
      <c r="O16" s="5" t="str">
        <f>IFERROR(__xludf.DUMMYFUNCTION("""COMPUTED_VALUE"""),"Not Answered")</f>
        <v>Not Answered</v>
      </c>
      <c r="P16" s="5" t="str">
        <f>IFERROR(__xludf.DUMMYFUNCTION("""COMPUTED_VALUE"""),"Jan Erik Robertsen")</f>
        <v>Jan Erik Robertsen</v>
      </c>
      <c r="Q16" s="5" t="str">
        <f>IFERROR(__xludf.DUMMYFUNCTION("""COMPUTED_VALUE"""),"Not Answered")</f>
        <v>Not Answered</v>
      </c>
      <c r="R16" s="5" t="str">
        <f>IFERROR(__xludf.DUMMYFUNCTION("""COMPUTED_VALUE"""),"Not Answered")</f>
        <v>Not Answered</v>
      </c>
      <c r="S16" s="5" t="str">
        <f>IFERROR(__xludf.DUMMYFUNCTION("""COMPUTED_VALUE"""),"Not Answered")</f>
        <v>Not Answered</v>
      </c>
      <c r="T16" s="5" t="str">
        <f>IFERROR(__xludf.DUMMYFUNCTION("""COMPUTED_VALUE"""),"Not Answered")</f>
        <v>Not Answered</v>
      </c>
      <c r="U16" s="5" t="str">
        <f>IFERROR(__xludf.DUMMYFUNCTION("""COMPUTED_VALUE"""),"Not Answered")</f>
        <v>Not Answered</v>
      </c>
      <c r="V16" s="5" t="str">
        <f>IFERROR(__xludf.DUMMYFUNCTION("""COMPUTED_VALUE"""),"Not Answered")</f>
        <v>Not Answered</v>
      </c>
      <c r="W16" s="5" t="str">
        <f>IFERROR(__xludf.DUMMYFUNCTION("""COMPUTED_VALUE"""),"Not Answered")</f>
        <v>Not Answered</v>
      </c>
      <c r="X16" s="5" t="str">
        <f>IFERROR(__xludf.DUMMYFUNCTION("""COMPUTED_VALUE"""),"Not Answered")</f>
        <v>Not Answered</v>
      </c>
      <c r="Y16" s="5" t="str">
        <f>IFERROR(__xludf.DUMMYFUNCTION("""COMPUTED_VALUE"""),"Not Answered")</f>
        <v>Not Answered</v>
      </c>
      <c r="Z16" s="5" t="str">
        <f>IFERROR(__xludf.DUMMYFUNCTION("""COMPUTED_VALUE"""),"Not Answered")</f>
        <v>Not Answered</v>
      </c>
      <c r="AA16" s="5" t="str">
        <f>IFERROR(__xludf.DUMMYFUNCTION("""COMPUTED_VALUE"""),"Ganske fornøyd")</f>
        <v>Ganske fornøyd</v>
      </c>
      <c r="AB16" s="5" t="str">
        <f>IFERROR(__xludf.DUMMYFUNCTION("""COMPUTED_VALUE"""),"Not Answered")</f>
        <v>Not Answered</v>
      </c>
      <c r="AC16" s="5" t="str">
        <f>IFERROR(__xludf.DUMMYFUNCTION("""COMPUTED_VALUE"""),"I stor grad")</f>
        <v>I stor grad</v>
      </c>
      <c r="AD16" s="5" t="str">
        <f>IFERROR(__xludf.DUMMYFUNCTION("""COMPUTED_VALUE"""),"Not Answered")</f>
        <v>Not Answered</v>
      </c>
      <c r="AE16" s="5" t="str">
        <f>IFERROR(__xludf.DUMMYFUNCTION("""COMPUTED_VALUE"""),"Svært fornøyd")</f>
        <v>Svært fornøyd</v>
      </c>
      <c r="AF16" s="5" t="str">
        <f>IFERROR(__xludf.DUMMYFUNCTION("""COMPUTED_VALUE"""),"Not Answered")</f>
        <v>Not Answered</v>
      </c>
      <c r="AG16" s="5" t="str">
        <f>IFERROR(__xludf.DUMMYFUNCTION("""COMPUTED_VALUE"""),"Ganske fornøyd")</f>
        <v>Ganske fornøyd</v>
      </c>
      <c r="AH16" s="5" t="str">
        <f>IFERROR(__xludf.DUMMYFUNCTION("""COMPUTED_VALUE"""),"Not Answered")</f>
        <v>Not Answered</v>
      </c>
      <c r="AI16" s="5" t="str">
        <f>IFERROR(__xludf.DUMMYFUNCTION("""COMPUTED_VALUE"""),"Ganske fornøyd")</f>
        <v>Ganske fornøyd</v>
      </c>
      <c r="AJ16" s="5" t="str">
        <f>IFERROR(__xludf.DUMMYFUNCTION("""COMPUTED_VALUE"""),"Not Answered")</f>
        <v>Not Answered</v>
      </c>
      <c r="AK16" s="5" t="str">
        <f>IFERROR(__xludf.DUMMYFUNCTION("""COMPUTED_VALUE"""),"4 - star")</f>
        <v>4 - star</v>
      </c>
      <c r="AL16" s="5" t="str">
        <f>IFERROR(__xludf.DUMMYFUNCTION("""COMPUTED_VALUE"""),"Not Answered")</f>
        <v>Not Answered</v>
      </c>
      <c r="AM16" s="5" t="str">
        <f>IFERROR(__xludf.DUMMYFUNCTION("""COMPUTED_VALUE"""),"Not Answered")</f>
        <v>Not Answered</v>
      </c>
      <c r="AN16" s="11">
        <f t="shared" si="3"/>
        <v>45226.79343</v>
      </c>
      <c r="AO16" s="5" t="str">
        <f t="shared" si="4"/>
        <v>Statnett</v>
      </c>
      <c r="AP16" s="5" t="str">
        <f>IFERROR(__xludf.DUMMYFUNCTION("if(ISNUMBER(A16),FILTER(O16:Z16,REGEXMATCH(O16:Z16, ""Not Answered"")=FALSE),)"),"Jan Erik Robertsen")</f>
        <v>Jan Erik Robertsen</v>
      </c>
      <c r="AQ16" s="5" t="str">
        <f>if(ISNUMBER($C16), VLOOKUP(AP16, konsulenter!$A$1:$B99,2,false),)</f>
        <v>#N/A</v>
      </c>
      <c r="AR16" s="10">
        <f>if(ISNUMBER($A16), VLOOKUP(AA16, mapping!$A$2:$B99,2,false),)</f>
        <v>5</v>
      </c>
      <c r="AS16" s="10" t="str">
        <f t="shared" si="5"/>
        <v>-</v>
      </c>
      <c r="AT16" s="10">
        <f>if(ISNUMBER($A16), VLOOKUP(AC16, mapping!$A$2:$B99,2,false),)</f>
        <v>6</v>
      </c>
      <c r="AU16" s="10" t="str">
        <f t="shared" si="6"/>
        <v>-</v>
      </c>
      <c r="AV16" s="10">
        <f>if(ISNUMBER($A16), VLOOKUP(AE16, mapping!$A$2:$B99,2,false),)</f>
        <v>6</v>
      </c>
      <c r="AW16" s="10" t="str">
        <f t="shared" si="7"/>
        <v>-</v>
      </c>
      <c r="AX16" s="10">
        <f>if(ISNUMBER($A16), VLOOKUP(AG16, mapping!$A$2:$B99,2,false),)</f>
        <v>5</v>
      </c>
      <c r="AY16" s="10" t="str">
        <f t="shared" si="8"/>
        <v>-</v>
      </c>
      <c r="AZ16" s="10">
        <f>if(ISNUMBER($A16), VLOOKUP(AI16, mapping!$A$2:$B99,2,false),)</f>
        <v>5</v>
      </c>
      <c r="BA16" s="10" t="str">
        <f t="shared" si="9"/>
        <v>-</v>
      </c>
      <c r="BB16" s="10">
        <f>if(ISNUMBER($A16), VLOOKUP(AK16, mapping!$A$2:$B99,2,false),)</f>
        <v>4</v>
      </c>
      <c r="BC16" s="10" t="str">
        <f t="shared" ref="BC16:BD16" si="23">if(ISNUMBER($A16), IF(AL16="Not Answered","-",AL16),)</f>
        <v>-</v>
      </c>
      <c r="BD16" s="10" t="str">
        <f t="shared" si="23"/>
        <v>-</v>
      </c>
    </row>
    <row r="17">
      <c r="A17" s="5">
        <f>IFERROR(__xludf.DUMMYFUNCTION("""COMPUTED_VALUE"""),1.14448133902E11)</f>
        <v>114448133902</v>
      </c>
      <c r="B17" s="11">
        <f>IFERROR(__xludf.DUMMYFUNCTION("""COMPUTED_VALUE"""),45226.8190625)</f>
        <v>45226.81906</v>
      </c>
      <c r="C17" s="11">
        <f>IFERROR(__xludf.DUMMYFUNCTION("""COMPUTED_VALUE"""),45226.81972222222)</f>
        <v>45226.81972</v>
      </c>
      <c r="D17" s="5" t="str">
        <f>IFERROR(__xludf.DUMMYFUNCTION("""COMPUTED_VALUE"""),"46.212.92.122")</f>
        <v>46.212.92.122</v>
      </c>
      <c r="E17" s="5">
        <f>IFERROR(__xludf.DUMMYFUNCTION("""COMPUTED_VALUE"""),57.0)</f>
        <v>57</v>
      </c>
      <c r="F17" s="5" t="str">
        <f>IFERROR(__xludf.DUMMYFUNCTION("""COMPUTED_VALUE"""),"completed")</f>
        <v>completed</v>
      </c>
      <c r="G17" s="5" t="str">
        <f>IFERROR(__xludf.DUMMYFUNCTION("""COMPUTED_VALUE"""),"Not Answered")</f>
        <v>Not Answered</v>
      </c>
      <c r="H17" s="5" t="str">
        <f>IFERROR(__xludf.DUMMYFUNCTION("""COMPUTED_VALUE"""),"Not Answered")</f>
        <v>Not Answered</v>
      </c>
      <c r="I17" s="5" t="str">
        <f>IFERROR(__xludf.DUMMYFUNCTION("""COMPUTED_VALUE"""),"Not Answered")</f>
        <v>Not Answered</v>
      </c>
      <c r="J17" s="5">
        <f>IFERROR(__xludf.DUMMYFUNCTION("""COMPUTED_VALUE"""),4.27944757E8)</f>
        <v>427944757</v>
      </c>
      <c r="K17" s="5" t="str">
        <f>IFERROR(__xludf.DUMMYFUNCTION("""COMPUTED_VALUE"""),"weblink")</f>
        <v>weblink</v>
      </c>
      <c r="L17" s="5" t="str">
        <f>IFERROR(__xludf.DUMMYFUNCTION("""COMPUTED_VALUE"""),"Not Answered")</f>
        <v>Not Answered</v>
      </c>
      <c r="M17" s="5" t="str">
        <f>IFERROR(__xludf.DUMMYFUNCTION("""COMPUTED_VALUE"""),"Not Answered")</f>
        <v>Not Answered</v>
      </c>
      <c r="N17" s="5" t="str">
        <f>IFERROR(__xludf.DUMMYFUNCTION("""COMPUTED_VALUE"""),"Statnett")</f>
        <v>Statnett</v>
      </c>
      <c r="O17" s="5" t="str">
        <f>IFERROR(__xludf.DUMMYFUNCTION("""COMPUTED_VALUE"""),"Not Answered")</f>
        <v>Not Answered</v>
      </c>
      <c r="P17" s="5" t="str">
        <f>IFERROR(__xludf.DUMMYFUNCTION("""COMPUTED_VALUE"""),"Kristian Børresen")</f>
        <v>Kristian Børresen</v>
      </c>
      <c r="Q17" s="5" t="str">
        <f>IFERROR(__xludf.DUMMYFUNCTION("""COMPUTED_VALUE"""),"Not Answered")</f>
        <v>Not Answered</v>
      </c>
      <c r="R17" s="5" t="str">
        <f>IFERROR(__xludf.DUMMYFUNCTION("""COMPUTED_VALUE"""),"Not Answered")</f>
        <v>Not Answered</v>
      </c>
      <c r="S17" s="5" t="str">
        <f>IFERROR(__xludf.DUMMYFUNCTION("""COMPUTED_VALUE"""),"Not Answered")</f>
        <v>Not Answered</v>
      </c>
      <c r="T17" s="5" t="str">
        <f>IFERROR(__xludf.DUMMYFUNCTION("""COMPUTED_VALUE"""),"Not Answered")</f>
        <v>Not Answered</v>
      </c>
      <c r="U17" s="5" t="str">
        <f>IFERROR(__xludf.DUMMYFUNCTION("""COMPUTED_VALUE"""),"Not Answered")</f>
        <v>Not Answered</v>
      </c>
      <c r="V17" s="5" t="str">
        <f>IFERROR(__xludf.DUMMYFUNCTION("""COMPUTED_VALUE"""),"Not Answered")</f>
        <v>Not Answered</v>
      </c>
      <c r="W17" s="5" t="str">
        <f>IFERROR(__xludf.DUMMYFUNCTION("""COMPUTED_VALUE"""),"Not Answered")</f>
        <v>Not Answered</v>
      </c>
      <c r="X17" s="5" t="str">
        <f>IFERROR(__xludf.DUMMYFUNCTION("""COMPUTED_VALUE"""),"Not Answered")</f>
        <v>Not Answered</v>
      </c>
      <c r="Y17" s="5" t="str">
        <f>IFERROR(__xludf.DUMMYFUNCTION("""COMPUTED_VALUE"""),"Not Answered")</f>
        <v>Not Answered</v>
      </c>
      <c r="Z17" s="5" t="str">
        <f>IFERROR(__xludf.DUMMYFUNCTION("""COMPUTED_VALUE"""),"Not Answered")</f>
        <v>Not Answered</v>
      </c>
      <c r="AA17" s="5" t="str">
        <f>IFERROR(__xludf.DUMMYFUNCTION("""COMPUTED_VALUE"""),"Svært fornøyd")</f>
        <v>Svært fornøyd</v>
      </c>
      <c r="AB17" s="5" t="str">
        <f>IFERROR(__xludf.DUMMYFUNCTION("""COMPUTED_VALUE"""),"Not Answered")</f>
        <v>Not Answered</v>
      </c>
      <c r="AC17" s="5" t="str">
        <f>IFERROR(__xludf.DUMMYFUNCTION("""COMPUTED_VALUE"""),"I stor grad")</f>
        <v>I stor grad</v>
      </c>
      <c r="AD17" s="5" t="str">
        <f>IFERROR(__xludf.DUMMYFUNCTION("""COMPUTED_VALUE"""),"Not Answered")</f>
        <v>Not Answered</v>
      </c>
      <c r="AE17" s="5" t="str">
        <f>IFERROR(__xludf.DUMMYFUNCTION("""COMPUTED_VALUE"""),"Ganske fornøyd ")</f>
        <v>Ganske fornøyd </v>
      </c>
      <c r="AF17" s="5" t="str">
        <f>IFERROR(__xludf.DUMMYFUNCTION("""COMPUTED_VALUE"""),"Not Answered")</f>
        <v>Not Answered</v>
      </c>
      <c r="AG17" s="5" t="str">
        <f>IFERROR(__xludf.DUMMYFUNCTION("""COMPUTED_VALUE"""),"Ganske fornøyd")</f>
        <v>Ganske fornøyd</v>
      </c>
      <c r="AH17" s="5" t="str">
        <f>IFERROR(__xludf.DUMMYFUNCTION("""COMPUTED_VALUE"""),"Not Answered")</f>
        <v>Not Answered</v>
      </c>
      <c r="AI17" s="5" t="str">
        <f>IFERROR(__xludf.DUMMYFUNCTION("""COMPUTED_VALUE"""),"Ganske fornøyd")</f>
        <v>Ganske fornøyd</v>
      </c>
      <c r="AJ17" s="5" t="str">
        <f>IFERROR(__xludf.DUMMYFUNCTION("""COMPUTED_VALUE"""),"Not Answered")</f>
        <v>Not Answered</v>
      </c>
      <c r="AK17" s="5" t="str">
        <f>IFERROR(__xludf.DUMMYFUNCTION("""COMPUTED_VALUE"""),"4 - star")</f>
        <v>4 - star</v>
      </c>
      <c r="AL17" s="5" t="str">
        <f>IFERROR(__xludf.DUMMYFUNCTION("""COMPUTED_VALUE"""),"Not Answered")</f>
        <v>Not Answered</v>
      </c>
      <c r="AM17" s="5" t="str">
        <f>IFERROR(__xludf.DUMMYFUNCTION("""COMPUTED_VALUE"""),"Not Answered")</f>
        <v>Not Answered</v>
      </c>
      <c r="AN17" s="11">
        <f t="shared" si="3"/>
        <v>45226.81906</v>
      </c>
      <c r="AO17" s="5" t="str">
        <f t="shared" si="4"/>
        <v>Statnett</v>
      </c>
      <c r="AP17" s="5" t="str">
        <f>IFERROR(__xludf.DUMMYFUNCTION("if(ISNUMBER(A17),FILTER(O17:Z17,REGEXMATCH(O17:Z17, ""Not Answered"")=FALSE),)"),"Kristian Børresen")</f>
        <v>Kristian Børresen</v>
      </c>
      <c r="AQ17" s="5" t="str">
        <f>if(ISNUMBER($C17), VLOOKUP(AP17, konsulenter!$A$1:$B99,2,false),)</f>
        <v>#N/A</v>
      </c>
      <c r="AR17" s="10">
        <f>if(ISNUMBER($A17), VLOOKUP(AA17, mapping!$A$2:$B99,2,false),)</f>
        <v>6</v>
      </c>
      <c r="AS17" s="10" t="str">
        <f t="shared" si="5"/>
        <v>-</v>
      </c>
      <c r="AT17" s="10">
        <f>if(ISNUMBER($A17), VLOOKUP(AC17, mapping!$A$2:$B99,2,false),)</f>
        <v>6</v>
      </c>
      <c r="AU17" s="10" t="str">
        <f t="shared" si="6"/>
        <v>-</v>
      </c>
      <c r="AV17" s="10">
        <f>if(ISNUMBER($A17), VLOOKUP(AE17, mapping!$A$2:$B99,2,false),)</f>
        <v>5</v>
      </c>
      <c r="AW17" s="10" t="str">
        <f t="shared" si="7"/>
        <v>-</v>
      </c>
      <c r="AX17" s="10">
        <f>if(ISNUMBER($A17), VLOOKUP(AG17, mapping!$A$2:$B99,2,false),)</f>
        <v>5</v>
      </c>
      <c r="AY17" s="10" t="str">
        <f t="shared" si="8"/>
        <v>-</v>
      </c>
      <c r="AZ17" s="10">
        <f>if(ISNUMBER($A17), VLOOKUP(AI17, mapping!$A$2:$B99,2,false),)</f>
        <v>5</v>
      </c>
      <c r="BA17" s="10" t="str">
        <f t="shared" si="9"/>
        <v>-</v>
      </c>
      <c r="BB17" s="10">
        <f>if(ISNUMBER($A17), VLOOKUP(AK17, mapping!$A$2:$B99,2,false),)</f>
        <v>4</v>
      </c>
      <c r="BC17" s="10" t="str">
        <f t="shared" ref="BC17:BD17" si="24">if(ISNUMBER($A17), IF(AL17="Not Answered","-",AL17),)</f>
        <v>-</v>
      </c>
      <c r="BD17" s="10" t="str">
        <f t="shared" si="24"/>
        <v>-</v>
      </c>
    </row>
    <row r="18">
      <c r="A18" s="5">
        <f>IFERROR(__xludf.DUMMYFUNCTION("""COMPUTED_VALUE"""),1.14449356059E11)</f>
        <v>114449356059</v>
      </c>
      <c r="B18" s="11">
        <f>IFERROR(__xludf.DUMMYFUNCTION("""COMPUTED_VALUE"""),45229.43701388889)</f>
        <v>45229.43701</v>
      </c>
      <c r="C18" s="11">
        <f>IFERROR(__xludf.DUMMYFUNCTION("""COMPUTED_VALUE"""),45229.43917824074)</f>
        <v>45229.43918</v>
      </c>
      <c r="D18" s="5" t="str">
        <f>IFERROR(__xludf.DUMMYFUNCTION("""COMPUTED_VALUE"""),"213.52.14.251")</f>
        <v>213.52.14.251</v>
      </c>
      <c r="E18" s="5">
        <f>IFERROR(__xludf.DUMMYFUNCTION("""COMPUTED_VALUE"""),186.0)</f>
        <v>186</v>
      </c>
      <c r="F18" s="5" t="str">
        <f>IFERROR(__xludf.DUMMYFUNCTION("""COMPUTED_VALUE"""),"completed")</f>
        <v>completed</v>
      </c>
      <c r="G18" s="5" t="str">
        <f>IFERROR(__xludf.DUMMYFUNCTION("""COMPUTED_VALUE"""),"Not Answered")</f>
        <v>Not Answered</v>
      </c>
      <c r="H18" s="5" t="str">
        <f>IFERROR(__xludf.DUMMYFUNCTION("""COMPUTED_VALUE"""),"Not Answered")</f>
        <v>Not Answered</v>
      </c>
      <c r="I18" s="5" t="str">
        <f>IFERROR(__xludf.DUMMYFUNCTION("""COMPUTED_VALUE"""),"Not Answered")</f>
        <v>Not Answered</v>
      </c>
      <c r="J18" s="5">
        <f>IFERROR(__xludf.DUMMYFUNCTION("""COMPUTED_VALUE"""),4.27944757E8)</f>
        <v>427944757</v>
      </c>
      <c r="K18" s="5" t="str">
        <f>IFERROR(__xludf.DUMMYFUNCTION("""COMPUTED_VALUE"""),"weblink")</f>
        <v>weblink</v>
      </c>
      <c r="L18" s="5" t="str">
        <f>IFERROR(__xludf.DUMMYFUNCTION("""COMPUTED_VALUE"""),"Not Answered")</f>
        <v>Not Answered</v>
      </c>
      <c r="M18" s="5" t="str">
        <f>IFERROR(__xludf.DUMMYFUNCTION("""COMPUTED_VALUE"""),"Not Answered")</f>
        <v>Not Answered</v>
      </c>
      <c r="N18" s="5" t="str">
        <f>IFERROR(__xludf.DUMMYFUNCTION("""COMPUTED_VALUE"""),"Lånekassen")</f>
        <v>Lånekassen</v>
      </c>
      <c r="O18" s="5" t="str">
        <f>IFERROR(__xludf.DUMMYFUNCTION("""COMPUTED_VALUE"""),"Not Answered")</f>
        <v>Not Answered</v>
      </c>
      <c r="P18" s="5" t="str">
        <f>IFERROR(__xludf.DUMMYFUNCTION("""COMPUTED_VALUE"""),"Not Answered")</f>
        <v>Not Answered</v>
      </c>
      <c r="Q18" s="5" t="str">
        <f>IFERROR(__xludf.DUMMYFUNCTION("""COMPUTED_VALUE"""),"Not Answered")</f>
        <v>Not Answered</v>
      </c>
      <c r="R18" s="5" t="str">
        <f>IFERROR(__xludf.DUMMYFUNCTION("""COMPUTED_VALUE"""),"Not Answered")</f>
        <v>Not Answered</v>
      </c>
      <c r="S18" s="5" t="str">
        <f>IFERROR(__xludf.DUMMYFUNCTION("""COMPUTED_VALUE"""),"Not Answered")</f>
        <v>Not Answered</v>
      </c>
      <c r="T18" s="5" t="str">
        <f>IFERROR(__xludf.DUMMYFUNCTION("""COMPUTED_VALUE"""),"Not Answered")</f>
        <v>Not Answered</v>
      </c>
      <c r="U18" s="5" t="str">
        <f>IFERROR(__xludf.DUMMYFUNCTION("""COMPUTED_VALUE"""),"Not Answered")</f>
        <v>Not Answered</v>
      </c>
      <c r="V18" s="5" t="str">
        <f>IFERROR(__xludf.DUMMYFUNCTION("""COMPUTED_VALUE"""),"Not Answered")</f>
        <v>Not Answered</v>
      </c>
      <c r="W18" s="5" t="str">
        <f>IFERROR(__xludf.DUMMYFUNCTION("""COMPUTED_VALUE"""),"Not Answered")</f>
        <v>Not Answered</v>
      </c>
      <c r="X18" s="5" t="str">
        <f>IFERROR(__xludf.DUMMYFUNCTION("""COMPUTED_VALUE"""),"Not Answered")</f>
        <v>Not Answered</v>
      </c>
      <c r="Y18" s="5" t="str">
        <f>IFERROR(__xludf.DUMMYFUNCTION("""COMPUTED_VALUE"""),"Not Answered")</f>
        <v>Not Answered</v>
      </c>
      <c r="Z18" s="5" t="str">
        <f>IFERROR(__xludf.DUMMYFUNCTION("""COMPUTED_VALUE"""),"Not Answered")</f>
        <v>Not Answered</v>
      </c>
      <c r="AA18" s="5" t="str">
        <f>IFERROR(__xludf.DUMMYFUNCTION("""COMPUTED_VALUE"""),"Svært fornøyd")</f>
        <v>Svært fornøyd</v>
      </c>
      <c r="AB18" s="5" t="str">
        <f>IFERROR(__xludf.DUMMYFUNCTION("""COMPUTED_VALUE"""),"Not Answered")</f>
        <v>Not Answered</v>
      </c>
      <c r="AC18" s="5" t="str">
        <f>IFERROR(__xludf.DUMMYFUNCTION("""COMPUTED_VALUE"""),"I stor grad")</f>
        <v>I stor grad</v>
      </c>
      <c r="AD18" s="5" t="str">
        <f>IFERROR(__xludf.DUMMYFUNCTION("""COMPUTED_VALUE"""),"Not Answered")</f>
        <v>Not Answered</v>
      </c>
      <c r="AE18" s="5" t="str">
        <f>IFERROR(__xludf.DUMMYFUNCTION("""COMPUTED_VALUE"""),"Svært fornøyd")</f>
        <v>Svært fornøyd</v>
      </c>
      <c r="AF18" s="5" t="str">
        <f>IFERROR(__xludf.DUMMYFUNCTION("""COMPUTED_VALUE"""),"Not Answered")</f>
        <v>Not Answered</v>
      </c>
      <c r="AG18" s="5" t="str">
        <f>IFERROR(__xludf.DUMMYFUNCTION("""COMPUTED_VALUE"""),"Ganske fornøyd")</f>
        <v>Ganske fornøyd</v>
      </c>
      <c r="AH18" s="5" t="str">
        <f>IFERROR(__xludf.DUMMYFUNCTION("""COMPUTED_VALUE"""),"Not Answered")</f>
        <v>Not Answered</v>
      </c>
      <c r="AI18" s="5" t="str">
        <f>IFERROR(__xludf.DUMMYFUNCTION("""COMPUTED_VALUE"""),"Not Answered")</f>
        <v>Not Answered</v>
      </c>
      <c r="AJ18" s="5" t="str">
        <f>IFERROR(__xludf.DUMMYFUNCTION("""COMPUTED_VALUE"""),"Not Answered")</f>
        <v>Not Answered</v>
      </c>
      <c r="AK18" s="5" t="str">
        <f>IFERROR(__xludf.DUMMYFUNCTION("""COMPUTED_VALUE"""),"4 - star")</f>
        <v>4 - star</v>
      </c>
      <c r="AL18" s="5" t="str">
        <f>IFERROR(__xludf.DUMMYFUNCTION("""COMPUTED_VALUE"""),"Not Answered")</f>
        <v>Not Answered</v>
      </c>
      <c r="AM18" s="5" t="str">
        <f>IFERROR(__xludf.DUMMYFUNCTION("""COMPUTED_VALUE"""),"Not Answered")</f>
        <v>Not Answered</v>
      </c>
      <c r="AN18" s="11">
        <f t="shared" si="3"/>
        <v>45229.43701</v>
      </c>
      <c r="AO18" s="5" t="str">
        <f t="shared" si="4"/>
        <v>Lånekassen</v>
      </c>
      <c r="AP18" s="2" t="s">
        <v>282</v>
      </c>
      <c r="AQ18" s="5" t="str">
        <f>if(ISNUMBER($C18), VLOOKUP(AP18, konsulenter!$A$1:$B99,2,false),)</f>
        <v>#N/A</v>
      </c>
      <c r="AR18" s="10">
        <f>if(ISNUMBER($A18), VLOOKUP(AA18, mapping!$A$2:$B99,2,false),)</f>
        <v>6</v>
      </c>
      <c r="AS18" s="10" t="str">
        <f t="shared" si="5"/>
        <v>-</v>
      </c>
      <c r="AT18" s="10">
        <f>if(ISNUMBER($A18), VLOOKUP(AC18, mapping!$A$2:$B99,2,false),)</f>
        <v>6</v>
      </c>
      <c r="AU18" s="10" t="str">
        <f t="shared" si="6"/>
        <v>-</v>
      </c>
      <c r="AV18" s="10">
        <f>if(ISNUMBER($A18), VLOOKUP(AE18, mapping!$A$2:$B99,2,false),)</f>
        <v>6</v>
      </c>
      <c r="AW18" s="10" t="str">
        <f t="shared" si="7"/>
        <v>-</v>
      </c>
      <c r="AX18" s="10">
        <f>if(ISNUMBER($A18), VLOOKUP(AG18, mapping!$A$2:$B99,2,false),)</f>
        <v>5</v>
      </c>
      <c r="AY18" s="10" t="str">
        <f t="shared" si="8"/>
        <v>-</v>
      </c>
      <c r="AZ18" s="10" t="str">
        <f>if(ISNUMBER($A18), VLOOKUP(AI18, mapping!$A$2:$B99,2,false),)</f>
        <v/>
      </c>
      <c r="BA18" s="10" t="str">
        <f t="shared" si="9"/>
        <v>-</v>
      </c>
      <c r="BB18" s="10">
        <f>if(ISNUMBER($A18), VLOOKUP(AK18, mapping!$A$2:$B99,2,false),)</f>
        <v>4</v>
      </c>
      <c r="BC18" s="10" t="str">
        <f t="shared" ref="BC18:BD18" si="25">if(ISNUMBER($A18), IF(AL18="Not Answered","-",AL18),)</f>
        <v>-</v>
      </c>
      <c r="BD18" s="10" t="str">
        <f t="shared" si="25"/>
        <v>-</v>
      </c>
    </row>
    <row r="19">
      <c r="A19" s="5">
        <f>IFERROR(__xludf.DUMMYFUNCTION("""COMPUTED_VALUE"""),1.14449366008E11)</f>
        <v>114449366008</v>
      </c>
      <c r="B19" s="11">
        <f>IFERROR(__xludf.DUMMYFUNCTION("""COMPUTED_VALUE"""),45229.45314814815)</f>
        <v>45229.45315</v>
      </c>
      <c r="C19" s="11">
        <f>IFERROR(__xludf.DUMMYFUNCTION("""COMPUTED_VALUE"""),45229.454143518524)</f>
        <v>45229.45414</v>
      </c>
      <c r="D19" s="5" t="str">
        <f>IFERROR(__xludf.DUMMYFUNCTION("""COMPUTED_VALUE"""),"163.174.98.20")</f>
        <v>163.174.98.20</v>
      </c>
      <c r="E19" s="5">
        <f>IFERROR(__xludf.DUMMYFUNCTION("""COMPUTED_VALUE"""),85.0)</f>
        <v>85</v>
      </c>
      <c r="F19" s="5" t="str">
        <f>IFERROR(__xludf.DUMMYFUNCTION("""COMPUTED_VALUE"""),"completed")</f>
        <v>completed</v>
      </c>
      <c r="G19" s="5" t="str">
        <f>IFERROR(__xludf.DUMMYFUNCTION("""COMPUTED_VALUE"""),"Not Answered")</f>
        <v>Not Answered</v>
      </c>
      <c r="H19" s="5" t="str">
        <f>IFERROR(__xludf.DUMMYFUNCTION("""COMPUTED_VALUE"""),"Not Answered")</f>
        <v>Not Answered</v>
      </c>
      <c r="I19" s="5" t="str">
        <f>IFERROR(__xludf.DUMMYFUNCTION("""COMPUTED_VALUE"""),"Not Answered")</f>
        <v>Not Answered</v>
      </c>
      <c r="J19" s="5">
        <f>IFERROR(__xludf.DUMMYFUNCTION("""COMPUTED_VALUE"""),4.27944757E8)</f>
        <v>427944757</v>
      </c>
      <c r="K19" s="5" t="str">
        <f>IFERROR(__xludf.DUMMYFUNCTION("""COMPUTED_VALUE"""),"weblink")</f>
        <v>weblink</v>
      </c>
      <c r="L19" s="5" t="str">
        <f>IFERROR(__xludf.DUMMYFUNCTION("""COMPUTED_VALUE"""),"Not Answered")</f>
        <v>Not Answered</v>
      </c>
      <c r="M19" s="5" t="str">
        <f>IFERROR(__xludf.DUMMYFUNCTION("""COMPUTED_VALUE"""),"Not Answered")</f>
        <v>Not Answered</v>
      </c>
      <c r="N19" s="5" t="str">
        <f>IFERROR(__xludf.DUMMYFUNCTION("""COMPUTED_VALUE"""),"Politiet")</f>
        <v>Politiet</v>
      </c>
      <c r="O19" s="5" t="str">
        <f>IFERROR(__xludf.DUMMYFUNCTION("""COMPUTED_VALUE"""),"Not Answered")</f>
        <v>Not Answered</v>
      </c>
      <c r="P19" s="5" t="str">
        <f>IFERROR(__xludf.DUMMYFUNCTION("""COMPUTED_VALUE"""),"Not Answered")</f>
        <v>Not Answered</v>
      </c>
      <c r="Q19" s="5" t="str">
        <f>IFERROR(__xludf.DUMMYFUNCTION("""COMPUTED_VALUE"""),"Not Answered")</f>
        <v>Not Answered</v>
      </c>
      <c r="R19" s="5" t="str">
        <f>IFERROR(__xludf.DUMMYFUNCTION("""COMPUTED_VALUE"""),"Not Answered")</f>
        <v>Not Answered</v>
      </c>
      <c r="S19" s="5" t="str">
        <f>IFERROR(__xludf.DUMMYFUNCTION("""COMPUTED_VALUE"""),"Not Answered")</f>
        <v>Not Answered</v>
      </c>
      <c r="T19" s="5" t="str">
        <f>IFERROR(__xludf.DUMMYFUNCTION("""COMPUTED_VALUE"""),"Not Answered")</f>
        <v>Not Answered</v>
      </c>
      <c r="U19" s="5" t="str">
        <f>IFERROR(__xludf.DUMMYFUNCTION("""COMPUTED_VALUE"""),"Hans-Petter Vadseth")</f>
        <v>Hans-Petter Vadseth</v>
      </c>
      <c r="V19" s="5" t="str">
        <f>IFERROR(__xludf.DUMMYFUNCTION("""COMPUTED_VALUE"""),"Not Answered")</f>
        <v>Not Answered</v>
      </c>
      <c r="W19" s="5" t="str">
        <f>IFERROR(__xludf.DUMMYFUNCTION("""COMPUTED_VALUE"""),"Not Answered")</f>
        <v>Not Answered</v>
      </c>
      <c r="X19" s="5" t="str">
        <f>IFERROR(__xludf.DUMMYFUNCTION("""COMPUTED_VALUE"""),"Not Answered")</f>
        <v>Not Answered</v>
      </c>
      <c r="Y19" s="5" t="str">
        <f>IFERROR(__xludf.DUMMYFUNCTION("""COMPUTED_VALUE"""),"Not Answered")</f>
        <v>Not Answered</v>
      </c>
      <c r="Z19" s="5" t="str">
        <f>IFERROR(__xludf.DUMMYFUNCTION("""COMPUTED_VALUE"""),"Not Answered")</f>
        <v>Not Answered</v>
      </c>
      <c r="AA19" s="5" t="str">
        <f>IFERROR(__xludf.DUMMYFUNCTION("""COMPUTED_VALUE"""),"Svært fornøyd")</f>
        <v>Svært fornøyd</v>
      </c>
      <c r="AB19" s="5" t="str">
        <f>IFERROR(__xludf.DUMMYFUNCTION("""COMPUTED_VALUE"""),"Not Answered")</f>
        <v>Not Answered</v>
      </c>
      <c r="AC19" s="5" t="str">
        <f>IFERROR(__xludf.DUMMYFUNCTION("""COMPUTED_VALUE"""),"I stor grad")</f>
        <v>I stor grad</v>
      </c>
      <c r="AD19" s="5" t="str">
        <f>IFERROR(__xludf.DUMMYFUNCTION("""COMPUTED_VALUE"""),"Not Answered")</f>
        <v>Not Answered</v>
      </c>
      <c r="AE19" s="5" t="str">
        <f>IFERROR(__xludf.DUMMYFUNCTION("""COMPUTED_VALUE"""),"Svært fornøyd")</f>
        <v>Svært fornøyd</v>
      </c>
      <c r="AF19" s="5" t="str">
        <f>IFERROR(__xludf.DUMMYFUNCTION("""COMPUTED_VALUE"""),"Not Answered")</f>
        <v>Not Answered</v>
      </c>
      <c r="AG19" s="5" t="str">
        <f>IFERROR(__xludf.DUMMYFUNCTION("""COMPUTED_VALUE"""),"Svært fornøyd")</f>
        <v>Svært fornøyd</v>
      </c>
      <c r="AH19" s="5" t="str">
        <f>IFERROR(__xludf.DUMMYFUNCTION("""COMPUTED_VALUE"""),"Not Answered")</f>
        <v>Not Answered</v>
      </c>
      <c r="AI19" s="5" t="str">
        <f>IFERROR(__xludf.DUMMYFUNCTION("""COMPUTED_VALUE"""),"Litt fornøyd")</f>
        <v>Litt fornøyd</v>
      </c>
      <c r="AJ19" s="5" t="str">
        <f>IFERROR(__xludf.DUMMYFUNCTION("""COMPUTED_VALUE"""),"Not Answered")</f>
        <v>Not Answered</v>
      </c>
      <c r="AK19" s="5" t="str">
        <f>IFERROR(__xludf.DUMMYFUNCTION("""COMPUTED_VALUE"""),"5 - star")</f>
        <v>5 - star</v>
      </c>
      <c r="AL19" s="5" t="str">
        <f>IFERROR(__xludf.DUMMYFUNCTION("""COMPUTED_VALUE"""),"Not Answered")</f>
        <v>Not Answered</v>
      </c>
      <c r="AM19" s="5" t="str">
        <f>IFERROR(__xludf.DUMMYFUNCTION("""COMPUTED_VALUE"""),"Not Answered")</f>
        <v>Not Answered</v>
      </c>
      <c r="AN19" s="11">
        <f t="shared" si="3"/>
        <v>45229.45315</v>
      </c>
      <c r="AO19" s="5" t="str">
        <f t="shared" si="4"/>
        <v>Politiet</v>
      </c>
      <c r="AP19" s="5" t="str">
        <f>IFERROR(__xludf.DUMMYFUNCTION("if(ISNUMBER(A19),FILTER(O19:Z19,REGEXMATCH(O19:Z19, ""Not Answered"")=FALSE),)"),"Hans-Petter Vadseth")</f>
        <v>Hans-Petter Vadseth</v>
      </c>
      <c r="AQ19" s="5" t="str">
        <f>if(ISNUMBER($C19), VLOOKUP(AP19, konsulenter!$A$1:$B99,2,false),)</f>
        <v>hp@jpro.no</v>
      </c>
      <c r="AR19" s="10">
        <f>if(ISNUMBER($A19), VLOOKUP(AA19, mapping!$A$2:$B99,2,false),)</f>
        <v>6</v>
      </c>
      <c r="AS19" s="10" t="str">
        <f t="shared" si="5"/>
        <v>-</v>
      </c>
      <c r="AT19" s="10">
        <f>if(ISNUMBER($A19), VLOOKUP(AC19, mapping!$A$2:$B99,2,false),)</f>
        <v>6</v>
      </c>
      <c r="AU19" s="10" t="str">
        <f t="shared" si="6"/>
        <v>-</v>
      </c>
      <c r="AV19" s="10">
        <f>if(ISNUMBER($A19), VLOOKUP(AE19, mapping!$A$2:$B99,2,false),)</f>
        <v>6</v>
      </c>
      <c r="AW19" s="10" t="str">
        <f t="shared" si="7"/>
        <v>-</v>
      </c>
      <c r="AX19" s="10">
        <f>if(ISNUMBER($A19), VLOOKUP(AG19, mapping!$A$2:$B99,2,false),)</f>
        <v>6</v>
      </c>
      <c r="AY19" s="10" t="str">
        <f t="shared" si="8"/>
        <v>-</v>
      </c>
      <c r="AZ19" s="10">
        <f>if(ISNUMBER($A19), VLOOKUP(AI19, mapping!$A$2:$B99,2,false),)</f>
        <v>4</v>
      </c>
      <c r="BA19" s="10" t="str">
        <f t="shared" si="9"/>
        <v>-</v>
      </c>
      <c r="BB19" s="10">
        <f>if(ISNUMBER($A19), VLOOKUP(AK19, mapping!$A$2:$B99,2,false),)</f>
        <v>5</v>
      </c>
      <c r="BC19" s="10" t="str">
        <f t="shared" ref="BC19:BD19" si="26">if(ISNUMBER($A19), IF(AL19="Not Answered","-",AL19),)</f>
        <v>-</v>
      </c>
      <c r="BD19" s="10" t="str">
        <f t="shared" si="26"/>
        <v>-</v>
      </c>
    </row>
    <row r="20">
      <c r="A20" s="5">
        <f>IFERROR(__xludf.DUMMYFUNCTION("""COMPUTED_VALUE"""),1.14449366667E11)</f>
        <v>114449366667</v>
      </c>
      <c r="B20" s="11">
        <f>IFERROR(__xludf.DUMMYFUNCTION("""COMPUTED_VALUE"""),45229.45425925926)</f>
        <v>45229.45426</v>
      </c>
      <c r="C20" s="11">
        <f>IFERROR(__xludf.DUMMYFUNCTION("""COMPUTED_VALUE"""),45229.45482638889)</f>
        <v>45229.45483</v>
      </c>
      <c r="D20" s="5" t="str">
        <f>IFERROR(__xludf.DUMMYFUNCTION("""COMPUTED_VALUE"""),"163.174.98.20")</f>
        <v>163.174.98.20</v>
      </c>
      <c r="E20" s="5">
        <f>IFERROR(__xludf.DUMMYFUNCTION("""COMPUTED_VALUE"""),48.0)</f>
        <v>48</v>
      </c>
      <c r="F20" s="5" t="str">
        <f>IFERROR(__xludf.DUMMYFUNCTION("""COMPUTED_VALUE"""),"completed")</f>
        <v>completed</v>
      </c>
      <c r="G20" s="5" t="str">
        <f>IFERROR(__xludf.DUMMYFUNCTION("""COMPUTED_VALUE"""),"Not Answered")</f>
        <v>Not Answered</v>
      </c>
      <c r="H20" s="5" t="str">
        <f>IFERROR(__xludf.DUMMYFUNCTION("""COMPUTED_VALUE"""),"Not Answered")</f>
        <v>Not Answered</v>
      </c>
      <c r="I20" s="5" t="str">
        <f>IFERROR(__xludf.DUMMYFUNCTION("""COMPUTED_VALUE"""),"Not Answered")</f>
        <v>Not Answered</v>
      </c>
      <c r="J20" s="5">
        <f>IFERROR(__xludf.DUMMYFUNCTION("""COMPUTED_VALUE"""),4.27944757E8)</f>
        <v>427944757</v>
      </c>
      <c r="K20" s="5" t="str">
        <f>IFERROR(__xludf.DUMMYFUNCTION("""COMPUTED_VALUE"""),"weblink")</f>
        <v>weblink</v>
      </c>
      <c r="L20" s="5" t="str">
        <f>IFERROR(__xludf.DUMMYFUNCTION("""COMPUTED_VALUE"""),"Not Answered")</f>
        <v>Not Answered</v>
      </c>
      <c r="M20" s="5" t="str">
        <f>IFERROR(__xludf.DUMMYFUNCTION("""COMPUTED_VALUE"""),"Not Answered")</f>
        <v>Not Answered</v>
      </c>
      <c r="N20" s="5" t="str">
        <f>IFERROR(__xludf.DUMMYFUNCTION("""COMPUTED_VALUE"""),"Politiet")</f>
        <v>Politiet</v>
      </c>
      <c r="O20" s="5" t="str">
        <f>IFERROR(__xludf.DUMMYFUNCTION("""COMPUTED_VALUE"""),"Not Answered")</f>
        <v>Not Answered</v>
      </c>
      <c r="P20" s="5" t="str">
        <f>IFERROR(__xludf.DUMMYFUNCTION("""COMPUTED_VALUE"""),"Not Answered")</f>
        <v>Not Answered</v>
      </c>
      <c r="Q20" s="5" t="str">
        <f>IFERROR(__xludf.DUMMYFUNCTION("""COMPUTED_VALUE"""),"Not Answered")</f>
        <v>Not Answered</v>
      </c>
      <c r="R20" s="5" t="str">
        <f>IFERROR(__xludf.DUMMYFUNCTION("""COMPUTED_VALUE"""),"Not Answered")</f>
        <v>Not Answered</v>
      </c>
      <c r="S20" s="5" t="str">
        <f>IFERROR(__xludf.DUMMYFUNCTION("""COMPUTED_VALUE"""),"Not Answered")</f>
        <v>Not Answered</v>
      </c>
      <c r="T20" s="5" t="str">
        <f>IFERROR(__xludf.DUMMYFUNCTION("""COMPUTED_VALUE"""),"Not Answered")</f>
        <v>Not Answered</v>
      </c>
      <c r="U20" s="5" t="str">
        <f>IFERROR(__xludf.DUMMYFUNCTION("""COMPUTED_VALUE"""),"Christian Rørdam")</f>
        <v>Christian Rørdam</v>
      </c>
      <c r="V20" s="5" t="str">
        <f>IFERROR(__xludf.DUMMYFUNCTION("""COMPUTED_VALUE"""),"Not Answered")</f>
        <v>Not Answered</v>
      </c>
      <c r="W20" s="5" t="str">
        <f>IFERROR(__xludf.DUMMYFUNCTION("""COMPUTED_VALUE"""),"Not Answered")</f>
        <v>Not Answered</v>
      </c>
      <c r="X20" s="5" t="str">
        <f>IFERROR(__xludf.DUMMYFUNCTION("""COMPUTED_VALUE"""),"Not Answered")</f>
        <v>Not Answered</v>
      </c>
      <c r="Y20" s="5" t="str">
        <f>IFERROR(__xludf.DUMMYFUNCTION("""COMPUTED_VALUE"""),"Not Answered")</f>
        <v>Not Answered</v>
      </c>
      <c r="Z20" s="5" t="str">
        <f>IFERROR(__xludf.DUMMYFUNCTION("""COMPUTED_VALUE"""),"Not Answered")</f>
        <v>Not Answered</v>
      </c>
      <c r="AA20" s="5" t="str">
        <f>IFERROR(__xludf.DUMMYFUNCTION("""COMPUTED_VALUE"""),"Svært fornøyd")</f>
        <v>Svært fornøyd</v>
      </c>
      <c r="AB20" s="5" t="str">
        <f>IFERROR(__xludf.DUMMYFUNCTION("""COMPUTED_VALUE"""),"Not Answered")</f>
        <v>Not Answered</v>
      </c>
      <c r="AC20" s="5" t="str">
        <f>IFERROR(__xludf.DUMMYFUNCTION("""COMPUTED_VALUE"""),"I stor grad")</f>
        <v>I stor grad</v>
      </c>
      <c r="AD20" s="5" t="str">
        <f>IFERROR(__xludf.DUMMYFUNCTION("""COMPUTED_VALUE"""),"Not Answered")</f>
        <v>Not Answered</v>
      </c>
      <c r="AE20" s="5" t="str">
        <f>IFERROR(__xludf.DUMMYFUNCTION("""COMPUTED_VALUE"""),"Svært fornøyd")</f>
        <v>Svært fornøyd</v>
      </c>
      <c r="AF20" s="5" t="str">
        <f>IFERROR(__xludf.DUMMYFUNCTION("""COMPUTED_VALUE"""),"Not Answered")</f>
        <v>Not Answered</v>
      </c>
      <c r="AG20" s="5" t="str">
        <f>IFERROR(__xludf.DUMMYFUNCTION("""COMPUTED_VALUE"""),"Svært fornøyd")</f>
        <v>Svært fornøyd</v>
      </c>
      <c r="AH20" s="5" t="str">
        <f>IFERROR(__xludf.DUMMYFUNCTION("""COMPUTED_VALUE"""),"Not Answered")</f>
        <v>Not Answered</v>
      </c>
      <c r="AI20" s="5" t="str">
        <f>IFERROR(__xludf.DUMMYFUNCTION("""COMPUTED_VALUE"""),"Litt fornøyd")</f>
        <v>Litt fornøyd</v>
      </c>
      <c r="AJ20" s="5" t="str">
        <f>IFERROR(__xludf.DUMMYFUNCTION("""COMPUTED_VALUE"""),"Not Answered")</f>
        <v>Not Answered</v>
      </c>
      <c r="AK20" s="5" t="str">
        <f>IFERROR(__xludf.DUMMYFUNCTION("""COMPUTED_VALUE"""),"5 - star")</f>
        <v>5 - star</v>
      </c>
      <c r="AL20" s="5" t="str">
        <f>IFERROR(__xludf.DUMMYFUNCTION("""COMPUTED_VALUE"""),"Not Answered")</f>
        <v>Not Answered</v>
      </c>
      <c r="AM20" s="5" t="str">
        <f>IFERROR(__xludf.DUMMYFUNCTION("""COMPUTED_VALUE"""),"Not Answered")</f>
        <v>Not Answered</v>
      </c>
      <c r="AN20" s="11">
        <f t="shared" si="3"/>
        <v>45229.45426</v>
      </c>
      <c r="AO20" s="5" t="str">
        <f t="shared" si="4"/>
        <v>Politiet</v>
      </c>
      <c r="AP20" s="5" t="str">
        <f>IFERROR(__xludf.DUMMYFUNCTION("if(ISNUMBER(A20),FILTER(O20:Z20,REGEXMATCH(O20:Z20, ""Not Answered"")=FALSE),)"),"Christian Rørdam")</f>
        <v>Christian Rørdam</v>
      </c>
      <c r="AQ20" s="5" t="str">
        <f>if(ISNUMBER($C20), VLOOKUP(AP20, konsulenter!$A$1:$B99,2,false),)</f>
        <v>#N/A</v>
      </c>
      <c r="AR20" s="10">
        <f>if(ISNUMBER($A20), VLOOKUP(AA20, mapping!$A$2:$B99,2,false),)</f>
        <v>6</v>
      </c>
      <c r="AS20" s="10" t="str">
        <f t="shared" si="5"/>
        <v>-</v>
      </c>
      <c r="AT20" s="10">
        <f>if(ISNUMBER($A20), VLOOKUP(AC20, mapping!$A$2:$B99,2,false),)</f>
        <v>6</v>
      </c>
      <c r="AU20" s="10" t="str">
        <f t="shared" si="6"/>
        <v>-</v>
      </c>
      <c r="AV20" s="10">
        <f>if(ISNUMBER($A20), VLOOKUP(AE20, mapping!$A$2:$B99,2,false),)</f>
        <v>6</v>
      </c>
      <c r="AW20" s="10" t="str">
        <f t="shared" si="7"/>
        <v>-</v>
      </c>
      <c r="AX20" s="10">
        <f>if(ISNUMBER($A20), VLOOKUP(AG20, mapping!$A$2:$B99,2,false),)</f>
        <v>6</v>
      </c>
      <c r="AY20" s="10" t="str">
        <f t="shared" si="8"/>
        <v>-</v>
      </c>
      <c r="AZ20" s="10">
        <f>if(ISNUMBER($A20), VLOOKUP(AI20, mapping!$A$2:$B99,2,false),)</f>
        <v>4</v>
      </c>
      <c r="BA20" s="10" t="str">
        <f t="shared" si="9"/>
        <v>-</v>
      </c>
      <c r="BB20" s="10">
        <f>if(ISNUMBER($A20), VLOOKUP(AK20, mapping!$A$2:$B99,2,false),)</f>
        <v>5</v>
      </c>
      <c r="BC20" s="10" t="str">
        <f t="shared" ref="BC20:BD20" si="27">if(ISNUMBER($A20), IF(AL20="Not Answered","-",AL20),)</f>
        <v>-</v>
      </c>
      <c r="BD20" s="10" t="str">
        <f t="shared" si="27"/>
        <v>-</v>
      </c>
    </row>
    <row r="21">
      <c r="A21" s="5">
        <f>IFERROR(__xludf.DUMMYFUNCTION("""COMPUTED_VALUE"""),1.14456007085E11)</f>
        <v>114456007085</v>
      </c>
      <c r="B21" s="11">
        <f>IFERROR(__xludf.DUMMYFUNCTION("""COMPUTED_VALUE"""),45236.62459490741)</f>
        <v>45236.62459</v>
      </c>
      <c r="C21" s="11">
        <f>IFERROR(__xludf.DUMMYFUNCTION("""COMPUTED_VALUE"""),45236.63065972222)</f>
        <v>45236.63066</v>
      </c>
      <c r="D21" s="5" t="str">
        <f>IFERROR(__xludf.DUMMYFUNCTION("""COMPUTED_VALUE"""),"81.166.17.118")</f>
        <v>81.166.17.118</v>
      </c>
      <c r="E21" s="5">
        <f>IFERROR(__xludf.DUMMYFUNCTION("""COMPUTED_VALUE"""),524.0)</f>
        <v>524</v>
      </c>
      <c r="F21" s="5" t="str">
        <f>IFERROR(__xludf.DUMMYFUNCTION("""COMPUTED_VALUE"""),"completed")</f>
        <v>completed</v>
      </c>
      <c r="G21" s="5" t="str">
        <f>IFERROR(__xludf.DUMMYFUNCTION("""COMPUTED_VALUE"""),"Not Answered")</f>
        <v>Not Answered</v>
      </c>
      <c r="H21" s="5" t="str">
        <f>IFERROR(__xludf.DUMMYFUNCTION("""COMPUTED_VALUE"""),"Not Answered")</f>
        <v>Not Answered</v>
      </c>
      <c r="I21" s="5" t="str">
        <f>IFERROR(__xludf.DUMMYFUNCTION("""COMPUTED_VALUE"""),"Not Answered")</f>
        <v>Not Answered</v>
      </c>
      <c r="J21" s="5">
        <f>IFERROR(__xludf.DUMMYFUNCTION("""COMPUTED_VALUE"""),4.27944757E8)</f>
        <v>427944757</v>
      </c>
      <c r="K21" s="5" t="str">
        <f>IFERROR(__xludf.DUMMYFUNCTION("""COMPUTED_VALUE"""),"weblink")</f>
        <v>weblink</v>
      </c>
      <c r="L21" s="5" t="str">
        <f>IFERROR(__xludf.DUMMYFUNCTION("""COMPUTED_VALUE"""),"Not Answered")</f>
        <v>Not Answered</v>
      </c>
      <c r="M21" s="5" t="str">
        <f>IFERROR(__xludf.DUMMYFUNCTION("""COMPUTED_VALUE"""),"Not Answered")</f>
        <v>Not Answered</v>
      </c>
      <c r="N21" s="5" t="str">
        <f>IFERROR(__xludf.DUMMYFUNCTION("""COMPUTED_VALUE"""),"Tietoevry")</f>
        <v>Tietoevry</v>
      </c>
      <c r="O21" s="5" t="str">
        <f>IFERROR(__xludf.DUMMYFUNCTION("""COMPUTED_VALUE"""),"Not Answered")</f>
        <v>Not Answered</v>
      </c>
      <c r="P21" s="5" t="str">
        <f>IFERROR(__xludf.DUMMYFUNCTION("""COMPUTED_VALUE"""),"Not Answered")</f>
        <v>Not Answered</v>
      </c>
      <c r="Q21" s="5" t="str">
        <f>IFERROR(__xludf.DUMMYFUNCTION("""COMPUTED_VALUE"""),"Not Answered")</f>
        <v>Not Answered</v>
      </c>
      <c r="R21" s="5" t="str">
        <f>IFERROR(__xludf.DUMMYFUNCTION("""COMPUTED_VALUE"""),"Not Answered")</f>
        <v>Not Answered</v>
      </c>
      <c r="S21" s="5" t="str">
        <f>IFERROR(__xludf.DUMMYFUNCTION("""COMPUTED_VALUE"""),"Not Answered")</f>
        <v>Not Answered</v>
      </c>
      <c r="T21" s="5" t="str">
        <f>IFERROR(__xludf.DUMMYFUNCTION("""COMPUTED_VALUE"""),"Not Answered")</f>
        <v>Not Answered</v>
      </c>
      <c r="U21" s="5" t="str">
        <f>IFERROR(__xludf.DUMMYFUNCTION("""COMPUTED_VALUE"""),"Not Answered")</f>
        <v>Not Answered</v>
      </c>
      <c r="V21" s="5" t="str">
        <f>IFERROR(__xludf.DUMMYFUNCTION("""COMPUTED_VALUE"""),"Not Answered")</f>
        <v>Not Answered</v>
      </c>
      <c r="W21" s="5" t="str">
        <f>IFERROR(__xludf.DUMMYFUNCTION("""COMPUTED_VALUE"""),"Not Answered")</f>
        <v>Not Answered</v>
      </c>
      <c r="X21" s="5" t="str">
        <f>IFERROR(__xludf.DUMMYFUNCTION("""COMPUTED_VALUE"""),"Not Answered")</f>
        <v>Not Answered</v>
      </c>
      <c r="Y21" s="5" t="str">
        <f>IFERROR(__xludf.DUMMYFUNCTION("""COMPUTED_VALUE"""),"Not Answered")</f>
        <v>Not Answered</v>
      </c>
      <c r="Z21" s="5" t="str">
        <f>IFERROR(__xludf.DUMMYFUNCTION("""COMPUTED_VALUE"""),"Not Answered")</f>
        <v>Not Answered</v>
      </c>
      <c r="AA21" s="5" t="str">
        <f>IFERROR(__xludf.DUMMYFUNCTION("""COMPUTED_VALUE"""),"Svært fornøyd")</f>
        <v>Svært fornøyd</v>
      </c>
      <c r="AB21" s="5" t="str">
        <f>IFERROR(__xludf.DUMMYFUNCTION("""COMPUTED_VALUE"""),"Not Answered")</f>
        <v>Not Answered</v>
      </c>
      <c r="AC21" s="5" t="str">
        <f>IFERROR(__xludf.DUMMYFUNCTION("""COMPUTED_VALUE"""),"I stor grad")</f>
        <v>I stor grad</v>
      </c>
      <c r="AD21" s="5" t="str">
        <f>IFERROR(__xludf.DUMMYFUNCTION("""COMPUTED_VALUE"""),"Not Answered")</f>
        <v>Not Answered</v>
      </c>
      <c r="AE21" s="5" t="str">
        <f>IFERROR(__xludf.DUMMYFUNCTION("""COMPUTED_VALUE"""),"Svært fornøyd")</f>
        <v>Svært fornøyd</v>
      </c>
      <c r="AF21" s="5" t="str">
        <f>IFERROR(__xludf.DUMMYFUNCTION("""COMPUTED_VALUE"""),"Stort sett alltid tilgjengelig for deling og bistand")</f>
        <v>Stort sett alltid tilgjengelig for deling og bistand</v>
      </c>
      <c r="AG21" s="5" t="str">
        <f>IFERROR(__xludf.DUMMYFUNCTION("""COMPUTED_VALUE"""),"Svært fornøyd")</f>
        <v>Svært fornøyd</v>
      </c>
      <c r="AH21" s="5" t="str">
        <f>IFERROR(__xludf.DUMMYFUNCTION("""COMPUTED_VALUE"""),"Not Answered")</f>
        <v>Not Answered</v>
      </c>
      <c r="AI21" s="5" t="str">
        <f>IFERROR(__xludf.DUMMYFUNCTION("""COMPUTED_VALUE"""),"Not Answered")</f>
        <v>Not Answered</v>
      </c>
      <c r="AJ21" s="5" t="str">
        <f>IFERROR(__xludf.DUMMYFUNCTION("""COMPUTED_VALUE"""),"Not Answered")</f>
        <v>Not Answered</v>
      </c>
      <c r="AK21" s="5" t="str">
        <f>IFERROR(__xludf.DUMMYFUNCTION("""COMPUTED_VALUE"""),"I stor grad")</f>
        <v>I stor grad</v>
      </c>
      <c r="AL21" s="5" t="str">
        <f>IFERROR(__xludf.DUMMYFUNCTION("""COMPUTED_VALUE"""),"Not Answered")</f>
        <v>Not Answered</v>
      </c>
      <c r="AM21" s="5" t="str">
        <f>IFERROR(__xludf.DUMMYFUNCTION("""COMPUTED_VALUE"""),"Ikke for øyeblikket")</f>
        <v>Ikke for øyeblikket</v>
      </c>
      <c r="AN21" s="11">
        <f t="shared" si="3"/>
        <v>45236.62459</v>
      </c>
      <c r="AO21" s="5" t="str">
        <f t="shared" si="4"/>
        <v>Tietoevry</v>
      </c>
      <c r="AP21" s="2" t="s">
        <v>283</v>
      </c>
      <c r="AQ21" s="5" t="str">
        <f>if(ISNUMBER($C21), VLOOKUP(AP21, konsulenter!$A$1:$B99,2,false),)</f>
        <v>#N/A</v>
      </c>
      <c r="AR21" s="10">
        <f>if(ISNUMBER($A21), VLOOKUP(AA21, mapping!$A$2:$B99,2,false),)</f>
        <v>6</v>
      </c>
      <c r="AS21" s="10" t="str">
        <f t="shared" si="5"/>
        <v>-</v>
      </c>
      <c r="AT21" s="10">
        <f>if(ISNUMBER($A21), VLOOKUP(AC21, mapping!$A$2:$B99,2,false),)</f>
        <v>6</v>
      </c>
      <c r="AU21" s="10" t="str">
        <f t="shared" si="6"/>
        <v>-</v>
      </c>
      <c r="AV21" s="10">
        <f>if(ISNUMBER($A21), VLOOKUP(AE21, mapping!$A$2:$B99,2,false),)</f>
        <v>6</v>
      </c>
      <c r="AW21" s="10" t="str">
        <f t="shared" si="7"/>
        <v>Stort sett alltid tilgjengelig for deling og bistand</v>
      </c>
      <c r="AX21" s="10">
        <f>if(ISNUMBER($A21), VLOOKUP(AG21, mapping!$A$2:$B99,2,false),)</f>
        <v>6</v>
      </c>
      <c r="AY21" s="10" t="str">
        <f t="shared" si="8"/>
        <v>-</v>
      </c>
      <c r="AZ21" s="10" t="str">
        <f>if(ISNUMBER($A21), VLOOKUP(AI21, mapping!$A$2:$B99,2,false),)</f>
        <v/>
      </c>
      <c r="BA21" s="10" t="str">
        <f t="shared" si="9"/>
        <v>-</v>
      </c>
      <c r="BB21" s="10">
        <f>if(ISNUMBER($A21), VLOOKUP(AK21, mapping!$A$2:$B99,2,false),)</f>
        <v>6</v>
      </c>
      <c r="BC21" s="10" t="str">
        <f t="shared" ref="BC21:BD21" si="28">if(ISNUMBER($A21), IF(AL21="Not Answered","-",AL21),)</f>
        <v>-</v>
      </c>
      <c r="BD21" s="10" t="str">
        <f t="shared" si="28"/>
        <v>Ikke for øyeblikket</v>
      </c>
    </row>
    <row r="22">
      <c r="A22" s="5">
        <f>IFERROR(__xludf.DUMMYFUNCTION("""COMPUTED_VALUE"""),1.14456037685E11)</f>
        <v>114456037685</v>
      </c>
      <c r="B22" s="11">
        <f>IFERROR(__xludf.DUMMYFUNCTION("""COMPUTED_VALUE"""),45236.64335648148)</f>
        <v>45236.64336</v>
      </c>
      <c r="C22" s="11">
        <f>IFERROR(__xludf.DUMMYFUNCTION("""COMPUTED_VALUE"""),45236.64461805555)</f>
        <v>45236.64462</v>
      </c>
      <c r="D22" s="5" t="str">
        <f>IFERROR(__xludf.DUMMYFUNCTION("""COMPUTED_VALUE"""),"188.240.90.2")</f>
        <v>188.240.90.2</v>
      </c>
      <c r="E22" s="5">
        <f>IFERROR(__xludf.DUMMYFUNCTION("""COMPUTED_VALUE"""),108.0)</f>
        <v>108</v>
      </c>
      <c r="F22" s="5" t="str">
        <f>IFERROR(__xludf.DUMMYFUNCTION("""COMPUTED_VALUE"""),"completed")</f>
        <v>completed</v>
      </c>
      <c r="G22" s="5" t="str">
        <f>IFERROR(__xludf.DUMMYFUNCTION("""COMPUTED_VALUE"""),"Not Answered")</f>
        <v>Not Answered</v>
      </c>
      <c r="H22" s="5" t="str">
        <f>IFERROR(__xludf.DUMMYFUNCTION("""COMPUTED_VALUE"""),"Not Answered")</f>
        <v>Not Answered</v>
      </c>
      <c r="I22" s="5" t="str">
        <f>IFERROR(__xludf.DUMMYFUNCTION("""COMPUTED_VALUE"""),"Not Answered")</f>
        <v>Not Answered</v>
      </c>
      <c r="J22" s="5">
        <f>IFERROR(__xludf.DUMMYFUNCTION("""COMPUTED_VALUE"""),4.27944757E8)</f>
        <v>427944757</v>
      </c>
      <c r="K22" s="5" t="str">
        <f>IFERROR(__xludf.DUMMYFUNCTION("""COMPUTED_VALUE"""),"weblink")</f>
        <v>weblink</v>
      </c>
      <c r="L22" s="5" t="str">
        <f>IFERROR(__xludf.DUMMYFUNCTION("""COMPUTED_VALUE"""),"Not Answered")</f>
        <v>Not Answered</v>
      </c>
      <c r="M22" s="5" t="str">
        <f>IFERROR(__xludf.DUMMYFUNCTION("""COMPUTED_VALUE"""),"Not Answered")</f>
        <v>Not Answered</v>
      </c>
      <c r="N22" s="5" t="str">
        <f>IFERROR(__xludf.DUMMYFUNCTION("""COMPUTED_VALUE"""),"Tolletaten")</f>
        <v>Tolletaten</v>
      </c>
      <c r="O22" s="5" t="str">
        <f>IFERROR(__xludf.DUMMYFUNCTION("""COMPUTED_VALUE"""),"Not Answered")</f>
        <v>Not Answered</v>
      </c>
      <c r="P22" s="5" t="str">
        <f>IFERROR(__xludf.DUMMYFUNCTION("""COMPUTED_VALUE"""),"Not Answered")</f>
        <v>Not Answered</v>
      </c>
      <c r="Q22" s="5" t="str">
        <f>IFERROR(__xludf.DUMMYFUNCTION("""COMPUTED_VALUE"""),"Petter Kristiansen")</f>
        <v>Petter Kristiansen</v>
      </c>
      <c r="R22" s="5" t="str">
        <f>IFERROR(__xludf.DUMMYFUNCTION("""COMPUTED_VALUE"""),"Not Answered")</f>
        <v>Not Answered</v>
      </c>
      <c r="S22" s="5" t="str">
        <f>IFERROR(__xludf.DUMMYFUNCTION("""COMPUTED_VALUE"""),"Not Answered")</f>
        <v>Not Answered</v>
      </c>
      <c r="T22" s="5" t="str">
        <f>IFERROR(__xludf.DUMMYFUNCTION("""COMPUTED_VALUE"""),"Not Answered")</f>
        <v>Not Answered</v>
      </c>
      <c r="U22" s="5" t="str">
        <f>IFERROR(__xludf.DUMMYFUNCTION("""COMPUTED_VALUE"""),"Not Answered")</f>
        <v>Not Answered</v>
      </c>
      <c r="V22" s="5" t="str">
        <f>IFERROR(__xludf.DUMMYFUNCTION("""COMPUTED_VALUE"""),"Not Answered")</f>
        <v>Not Answered</v>
      </c>
      <c r="W22" s="5" t="str">
        <f>IFERROR(__xludf.DUMMYFUNCTION("""COMPUTED_VALUE"""),"Not Answered")</f>
        <v>Not Answered</v>
      </c>
      <c r="X22" s="5" t="str">
        <f>IFERROR(__xludf.DUMMYFUNCTION("""COMPUTED_VALUE"""),"Not Answered")</f>
        <v>Not Answered</v>
      </c>
      <c r="Y22" s="5" t="str">
        <f>IFERROR(__xludf.DUMMYFUNCTION("""COMPUTED_VALUE"""),"Not Answered")</f>
        <v>Not Answered</v>
      </c>
      <c r="Z22" s="5" t="str">
        <f>IFERROR(__xludf.DUMMYFUNCTION("""COMPUTED_VALUE"""),"Not Answered")</f>
        <v>Not Answered</v>
      </c>
      <c r="AA22" s="5" t="str">
        <f>IFERROR(__xludf.DUMMYFUNCTION("""COMPUTED_VALUE"""),"Svært fornøyd")</f>
        <v>Svært fornøyd</v>
      </c>
      <c r="AB22" s="5" t="str">
        <f>IFERROR(__xludf.DUMMYFUNCTION("""COMPUTED_VALUE"""),"Not Answered")</f>
        <v>Not Answered</v>
      </c>
      <c r="AC22" s="5" t="str">
        <f>IFERROR(__xludf.DUMMYFUNCTION("""COMPUTED_VALUE"""),"I stor grad")</f>
        <v>I stor grad</v>
      </c>
      <c r="AD22" s="5" t="str">
        <f>IFERROR(__xludf.DUMMYFUNCTION("""COMPUTED_VALUE"""),"Not Answered")</f>
        <v>Not Answered</v>
      </c>
      <c r="AE22" s="5" t="str">
        <f>IFERROR(__xludf.DUMMYFUNCTION("""COMPUTED_VALUE"""),"Svært fornøyd")</f>
        <v>Svært fornøyd</v>
      </c>
      <c r="AF22" s="5" t="str">
        <f>IFERROR(__xludf.DUMMYFUNCTION("""COMPUTED_VALUE"""),"Flink til å inkludere og involvere, samt dele av kompetanse")</f>
        <v>Flink til å inkludere og involvere, samt dele av kompetanse</v>
      </c>
      <c r="AG22" s="5" t="str">
        <f>IFERROR(__xludf.DUMMYFUNCTION("""COMPUTED_VALUE"""),"Svært fornøyd")</f>
        <v>Svært fornøyd</v>
      </c>
      <c r="AH22" s="5" t="str">
        <f>IFERROR(__xludf.DUMMYFUNCTION("""COMPUTED_VALUE"""),"Not Answered")</f>
        <v>Not Answered</v>
      </c>
      <c r="AI22" s="5" t="str">
        <f>IFERROR(__xludf.DUMMYFUNCTION("""COMPUTED_VALUE"""),"Not Answered")</f>
        <v>Not Answered</v>
      </c>
      <c r="AJ22" s="5" t="str">
        <f>IFERROR(__xludf.DUMMYFUNCTION("""COMPUTED_VALUE"""),"Ikke hatt noen dialog utover konsulentene vi har innleid. Så N/A")</f>
        <v>Ikke hatt noen dialog utover konsulentene vi har innleid. Så N/A</v>
      </c>
      <c r="AK22" s="5" t="str">
        <f>IFERROR(__xludf.DUMMYFUNCTION("""COMPUTED_VALUE"""),"I stor grad")</f>
        <v>I stor grad</v>
      </c>
      <c r="AL22" s="5" t="str">
        <f>IFERROR(__xludf.DUMMYFUNCTION("""COMPUTED_VALUE"""),"Not Answered")</f>
        <v>Not Answered</v>
      </c>
      <c r="AM22" s="5" t="str">
        <f>IFERROR(__xludf.DUMMYFUNCTION("""COMPUTED_VALUE"""),"Not Answered")</f>
        <v>Not Answered</v>
      </c>
      <c r="AN22" s="11">
        <f t="shared" si="3"/>
        <v>45236.64336</v>
      </c>
      <c r="AO22" s="5" t="str">
        <f t="shared" si="4"/>
        <v>Tolletaten</v>
      </c>
      <c r="AP22" s="5" t="str">
        <f>IFERROR(__xludf.DUMMYFUNCTION("if(ISNUMBER(A22),FILTER(O22:Z22,REGEXMATCH(O22:Z22, ""Not Answered"")=FALSE),)"),"Petter Kristiansen")</f>
        <v>Petter Kristiansen</v>
      </c>
      <c r="AQ22" s="5" t="str">
        <f>if(ISNUMBER($C22), VLOOKUP(AP22, konsulenter!$A$1:$B99,2,false),)</f>
        <v>#N/A</v>
      </c>
      <c r="AR22" s="10">
        <f>if(ISNUMBER($A22), VLOOKUP(AA22, mapping!$A$2:$B99,2,false),)</f>
        <v>6</v>
      </c>
      <c r="AS22" s="10" t="str">
        <f t="shared" si="5"/>
        <v>-</v>
      </c>
      <c r="AT22" s="10">
        <f>if(ISNUMBER($A22), VLOOKUP(AC22, mapping!$A$2:$B99,2,false),)</f>
        <v>6</v>
      </c>
      <c r="AU22" s="10" t="str">
        <f t="shared" si="6"/>
        <v>-</v>
      </c>
      <c r="AV22" s="10">
        <f>if(ISNUMBER($A22), VLOOKUP(AE22, mapping!$A$2:$B99,2,false),)</f>
        <v>6</v>
      </c>
      <c r="AW22" s="10" t="str">
        <f t="shared" si="7"/>
        <v>Flink til å inkludere og involvere, samt dele av kompetanse</v>
      </c>
      <c r="AX22" s="10">
        <f>if(ISNUMBER($A22), VLOOKUP(AG22, mapping!$A$2:$B99,2,false),)</f>
        <v>6</v>
      </c>
      <c r="AY22" s="10" t="str">
        <f t="shared" si="8"/>
        <v>-</v>
      </c>
      <c r="AZ22" s="10" t="str">
        <f>if(ISNUMBER($A22), VLOOKUP(AI22, mapping!$A$2:$B99,2,false),)</f>
        <v/>
      </c>
      <c r="BA22" s="10" t="str">
        <f t="shared" si="9"/>
        <v>Ikke hatt noen dialog utover konsulentene vi har innleid. Så N/A</v>
      </c>
      <c r="BB22" s="10">
        <f>if(ISNUMBER($A22), VLOOKUP(AK22, mapping!$A$2:$B99,2,false),)</f>
        <v>6</v>
      </c>
      <c r="BC22" s="10" t="str">
        <f t="shared" ref="BC22:BD22" si="29">if(ISNUMBER($A22), IF(AL22="Not Answered","-",AL22),)</f>
        <v>-</v>
      </c>
      <c r="BD22" s="10" t="str">
        <f t="shared" si="29"/>
        <v>-</v>
      </c>
    </row>
    <row r="23">
      <c r="AN23" s="5" t="str">
        <f t="shared" si="3"/>
        <v/>
      </c>
      <c r="AO23" s="5" t="str">
        <f t="shared" si="4"/>
        <v/>
      </c>
      <c r="AP23" s="5" t="str">
        <f>IFERROR(__xludf.DUMMYFUNCTION("if(ISNUMBER(A23),FILTER(O23:Z23,REGEXMATCH(O23:Z23, ""Not Answered"")=FALSE),)"),"")</f>
        <v/>
      </c>
      <c r="AQ23" s="5" t="str">
        <f>if(ISNUMBER($C23), VLOOKUP(AP23, konsulenter!$A$1:$B99,2,false),)</f>
        <v/>
      </c>
      <c r="AR23" s="10" t="str">
        <f>if(ISNUMBER($A23), VLOOKUP(AA23, mapping!$A$2:$B99,2,false),)</f>
        <v/>
      </c>
      <c r="AS23" s="10" t="str">
        <f t="shared" si="5"/>
        <v/>
      </c>
      <c r="AT23" s="10" t="str">
        <f>if(ISNUMBER($A23), VLOOKUP(AC23, mapping!$A$2:$B99,2,false),)</f>
        <v/>
      </c>
      <c r="AU23" s="10" t="str">
        <f t="shared" si="6"/>
        <v/>
      </c>
      <c r="AV23" s="10" t="str">
        <f>if(ISNUMBER($A23), VLOOKUP(AE23, mapping!$A$2:$B99,2,false),)</f>
        <v/>
      </c>
      <c r="AW23" s="10" t="str">
        <f t="shared" si="7"/>
        <v/>
      </c>
      <c r="AX23" s="10" t="str">
        <f>if(ISNUMBER($A23), VLOOKUP(AG23, mapping!$A$2:$B99,2,false),)</f>
        <v/>
      </c>
      <c r="AY23" s="10" t="str">
        <f t="shared" si="8"/>
        <v/>
      </c>
      <c r="AZ23" s="10" t="str">
        <f>if(ISNUMBER($A23), VLOOKUP(AI23, mapping!$A$2:$B99,2,false),)</f>
        <v/>
      </c>
      <c r="BA23" s="10" t="str">
        <f t="shared" si="9"/>
        <v/>
      </c>
      <c r="BB23" s="10" t="str">
        <f>if(ISNUMBER($A23), VLOOKUP(AK23, mapping!$A$2:$B99,2,false),)</f>
        <v/>
      </c>
      <c r="BC23" s="10" t="str">
        <f t="shared" ref="BC23:BD23" si="30">if(ISNUMBER($A23), IF(AL23="Not Answered","-",AL23),)</f>
        <v/>
      </c>
      <c r="BD23" s="10" t="str">
        <f t="shared" si="30"/>
        <v/>
      </c>
    </row>
    <row r="24">
      <c r="AN24" s="5" t="str">
        <f t="shared" si="3"/>
        <v/>
      </c>
      <c r="AO24" s="5" t="str">
        <f t="shared" si="4"/>
        <v/>
      </c>
      <c r="AP24" s="5" t="str">
        <f>IFERROR(__xludf.DUMMYFUNCTION("if(ISNUMBER(A24),FILTER(O24:Z24,REGEXMATCH(O24:Z24, ""Not Answered"")=FALSE),)"),"")</f>
        <v/>
      </c>
      <c r="AQ24" s="5" t="str">
        <f>if(ISNUMBER($C24), VLOOKUP(AP24, konsulenter!$A$1:$B99,2,false),)</f>
        <v/>
      </c>
      <c r="AR24" s="10" t="str">
        <f>if(ISNUMBER($A24), VLOOKUP(AA24, mapping!$A$2:$B99,2,false),)</f>
        <v/>
      </c>
      <c r="AS24" s="10" t="str">
        <f t="shared" si="5"/>
        <v/>
      </c>
      <c r="AT24" s="10" t="str">
        <f>if(ISNUMBER($A24), VLOOKUP(AC24, mapping!$A$2:$B99,2,false),)</f>
        <v/>
      </c>
      <c r="AU24" s="10" t="str">
        <f t="shared" si="6"/>
        <v/>
      </c>
      <c r="AV24" s="10" t="str">
        <f>if(ISNUMBER($A24), VLOOKUP(AE24, mapping!$A$2:$B99,2,false),)</f>
        <v/>
      </c>
      <c r="AW24" s="10" t="str">
        <f t="shared" si="7"/>
        <v/>
      </c>
      <c r="AX24" s="10" t="str">
        <f>if(ISNUMBER($A24), VLOOKUP(AG24, mapping!$A$2:$B99,2,false),)</f>
        <v/>
      </c>
      <c r="AY24" s="10" t="str">
        <f t="shared" si="8"/>
        <v/>
      </c>
      <c r="AZ24" s="10" t="str">
        <f>if(ISNUMBER($A24), VLOOKUP(AI24, mapping!$A$2:$B99,2,false),)</f>
        <v/>
      </c>
      <c r="BA24" s="10" t="str">
        <f t="shared" si="9"/>
        <v/>
      </c>
      <c r="BB24" s="10" t="str">
        <f>if(ISNUMBER($A24), VLOOKUP(AK24, mapping!$A$2:$B99,2,false),)</f>
        <v/>
      </c>
      <c r="BC24" s="10" t="str">
        <f t="shared" ref="BC24:BD24" si="31">if(ISNUMBER($A24), IF(AL24="Not Answered","-",AL24),)</f>
        <v/>
      </c>
      <c r="BD24" s="10" t="str">
        <f t="shared" si="31"/>
        <v/>
      </c>
    </row>
    <row r="25">
      <c r="AN25" s="5" t="str">
        <f t="shared" si="3"/>
        <v/>
      </c>
      <c r="AO25" s="5" t="str">
        <f t="shared" si="4"/>
        <v/>
      </c>
      <c r="AP25" s="5" t="str">
        <f>IFERROR(__xludf.DUMMYFUNCTION("if(ISNUMBER(A25),FILTER(O25:Z25,REGEXMATCH(O25:Z25, ""Not Answered"")=FALSE),)"),"")</f>
        <v/>
      </c>
      <c r="AQ25" s="5" t="str">
        <f>if(ISNUMBER($C25), VLOOKUP(AP25, konsulenter!$A$1:$B99,2,false),)</f>
        <v/>
      </c>
      <c r="AR25" s="10" t="str">
        <f>if(ISNUMBER($A25), VLOOKUP(AA25, mapping!$A$2:$B99,2,false),)</f>
        <v/>
      </c>
      <c r="AS25" s="10" t="str">
        <f t="shared" si="5"/>
        <v/>
      </c>
      <c r="AT25" s="10" t="str">
        <f>if(ISNUMBER($A25), VLOOKUP(AC25, mapping!$A$2:$B99,2,false),)</f>
        <v/>
      </c>
      <c r="AU25" s="10" t="str">
        <f t="shared" si="6"/>
        <v/>
      </c>
      <c r="AV25" s="10" t="str">
        <f>if(ISNUMBER($A25), VLOOKUP(AE25, mapping!$A$2:$B99,2,false),)</f>
        <v/>
      </c>
      <c r="AW25" s="10" t="str">
        <f t="shared" si="7"/>
        <v/>
      </c>
      <c r="AX25" s="10" t="str">
        <f>if(ISNUMBER($A25), VLOOKUP(AG25, mapping!$A$2:$B99,2,false),)</f>
        <v/>
      </c>
      <c r="AY25" s="10" t="str">
        <f t="shared" si="8"/>
        <v/>
      </c>
      <c r="AZ25" s="10" t="str">
        <f>if(ISNUMBER($A25), VLOOKUP(AI25, mapping!$A$2:$B99,2,false),)</f>
        <v/>
      </c>
      <c r="BA25" s="10" t="str">
        <f t="shared" si="9"/>
        <v/>
      </c>
      <c r="BB25" s="10" t="str">
        <f>if(ISNUMBER($A25), VLOOKUP(AK25, mapping!$A$2:$B99,2,false),)</f>
        <v/>
      </c>
      <c r="BC25" s="10" t="str">
        <f t="shared" ref="BC25:BD25" si="32">if(ISNUMBER($A25), IF(AL25="Not Answered","-",AL25),)</f>
        <v/>
      </c>
      <c r="BD25" s="10" t="str">
        <f t="shared" si="32"/>
        <v/>
      </c>
    </row>
    <row r="26">
      <c r="AN26" s="5" t="str">
        <f t="shared" si="3"/>
        <v/>
      </c>
      <c r="AO26" s="5" t="str">
        <f t="shared" si="4"/>
        <v/>
      </c>
      <c r="AP26" s="5" t="str">
        <f>IFERROR(__xludf.DUMMYFUNCTION("if(ISNUMBER(A26),FILTER(O26:Z26,REGEXMATCH(O26:Z26, ""Not Answered"")=FALSE),)"),"")</f>
        <v/>
      </c>
      <c r="AQ26" s="5" t="str">
        <f>if(ISNUMBER($C26), VLOOKUP(AP26, konsulenter!$A$1:$B99,2,false),)</f>
        <v/>
      </c>
      <c r="AR26" s="10" t="str">
        <f>if(ISNUMBER($A26), VLOOKUP(AA26, mapping!$A$2:$B99,2,false),)</f>
        <v/>
      </c>
      <c r="AS26" s="10" t="str">
        <f t="shared" si="5"/>
        <v/>
      </c>
      <c r="AT26" s="10" t="str">
        <f>if(ISNUMBER($A26), VLOOKUP(AC26, mapping!$A$2:$B99,2,false),)</f>
        <v/>
      </c>
      <c r="AU26" s="10" t="str">
        <f t="shared" si="6"/>
        <v/>
      </c>
      <c r="AV26" s="10" t="str">
        <f>if(ISNUMBER($A26), VLOOKUP(AE26, mapping!$A$2:$B99,2,false),)</f>
        <v/>
      </c>
      <c r="AW26" s="10" t="str">
        <f t="shared" si="7"/>
        <v/>
      </c>
      <c r="AX26" s="10" t="str">
        <f>if(ISNUMBER($A26), VLOOKUP(AG26, mapping!$A$2:$B99,2,false),)</f>
        <v/>
      </c>
      <c r="AY26" s="10" t="str">
        <f t="shared" si="8"/>
        <v/>
      </c>
      <c r="AZ26" s="10" t="str">
        <f>if(ISNUMBER($A26), VLOOKUP(AI26, mapping!$A$2:$B99,2,false),)</f>
        <v/>
      </c>
      <c r="BA26" s="10" t="str">
        <f t="shared" si="9"/>
        <v/>
      </c>
      <c r="BB26" s="10" t="str">
        <f>if(ISNUMBER($A26), VLOOKUP(AK26, mapping!$A$2:$B99,2,false),)</f>
        <v/>
      </c>
      <c r="BC26" s="10" t="str">
        <f t="shared" ref="BC26:BD26" si="33">if(ISNUMBER($A26), IF(AL26="Not Answered","-",AL26),)</f>
        <v/>
      </c>
      <c r="BD26" s="10" t="str">
        <f t="shared" si="33"/>
        <v/>
      </c>
    </row>
    <row r="27">
      <c r="AN27" s="5" t="str">
        <f t="shared" si="3"/>
        <v/>
      </c>
      <c r="AO27" s="5" t="str">
        <f t="shared" si="4"/>
        <v/>
      </c>
      <c r="AP27" s="5" t="str">
        <f>IFERROR(__xludf.DUMMYFUNCTION("if(ISNUMBER(A27),FILTER(O27:Z27,REGEXMATCH(O27:Z27, ""Not Answered"")=FALSE),)"),"")</f>
        <v/>
      </c>
      <c r="AQ27" s="5" t="str">
        <f>if(ISNUMBER($C27), VLOOKUP(AP27, konsulenter!$A$1:$B99,2,false),)</f>
        <v/>
      </c>
      <c r="AR27" s="10" t="str">
        <f>if(ISNUMBER($A27), VLOOKUP(AA27, mapping!$A$2:$B99,2,false),)</f>
        <v/>
      </c>
      <c r="AS27" s="10" t="str">
        <f t="shared" si="5"/>
        <v/>
      </c>
      <c r="AT27" s="10" t="str">
        <f>if(ISNUMBER($A27), VLOOKUP(AC27, mapping!$A$2:$B99,2,false),)</f>
        <v/>
      </c>
      <c r="AU27" s="10" t="str">
        <f t="shared" si="6"/>
        <v/>
      </c>
      <c r="AV27" s="10" t="str">
        <f>if(ISNUMBER($A27), VLOOKUP(AE27, mapping!$A$2:$B99,2,false),)</f>
        <v/>
      </c>
      <c r="AW27" s="10" t="str">
        <f t="shared" si="7"/>
        <v/>
      </c>
      <c r="AX27" s="10" t="str">
        <f>if(ISNUMBER($A27), VLOOKUP(AG27, mapping!$A$2:$B99,2,false),)</f>
        <v/>
      </c>
      <c r="AY27" s="10" t="str">
        <f t="shared" si="8"/>
        <v/>
      </c>
      <c r="AZ27" s="10" t="str">
        <f>if(ISNUMBER($A27), VLOOKUP(AI27, mapping!$A$2:$B99,2,false),)</f>
        <v/>
      </c>
      <c r="BA27" s="10" t="str">
        <f t="shared" si="9"/>
        <v/>
      </c>
      <c r="BB27" s="10" t="str">
        <f>if(ISNUMBER($A27), VLOOKUP(AK27, mapping!$A$2:$B99,2,false),)</f>
        <v/>
      </c>
      <c r="BC27" s="10" t="str">
        <f t="shared" ref="BC27:BD27" si="34">if(ISNUMBER($A27), IF(AL27="Not Answered","-",AL27),)</f>
        <v/>
      </c>
      <c r="BD27" s="10" t="str">
        <f t="shared" si="34"/>
        <v/>
      </c>
    </row>
    <row r="28">
      <c r="AN28" s="5" t="str">
        <f t="shared" si="3"/>
        <v/>
      </c>
      <c r="AO28" s="5" t="str">
        <f t="shared" si="4"/>
        <v/>
      </c>
      <c r="AP28" s="5" t="str">
        <f>IFERROR(__xludf.DUMMYFUNCTION("if(ISNUMBER(A28),FILTER(O28:Z28,REGEXMATCH(O28:Z28, ""Not Answered"")=FALSE),)"),"")</f>
        <v/>
      </c>
      <c r="AQ28" s="5" t="str">
        <f>if(ISNUMBER($C28), VLOOKUP(AP28, konsulenter!$A$1:$B99,2,false),)</f>
        <v/>
      </c>
      <c r="AR28" s="10" t="str">
        <f>if(ISNUMBER($A28), VLOOKUP(AA28, mapping!$A$2:$B99,2,false),)</f>
        <v/>
      </c>
      <c r="AS28" s="10" t="str">
        <f t="shared" si="5"/>
        <v/>
      </c>
      <c r="AT28" s="10" t="str">
        <f>if(ISNUMBER($A28), VLOOKUP(AC28, mapping!$A$2:$B99,2,false),)</f>
        <v/>
      </c>
      <c r="AU28" s="10" t="str">
        <f t="shared" si="6"/>
        <v/>
      </c>
      <c r="AV28" s="10" t="str">
        <f>if(ISNUMBER($A28), VLOOKUP(AE28, mapping!$A$2:$B99,2,false),)</f>
        <v/>
      </c>
      <c r="AW28" s="10" t="str">
        <f t="shared" si="7"/>
        <v/>
      </c>
      <c r="AX28" s="10" t="str">
        <f>if(ISNUMBER($A28), VLOOKUP(AG28, mapping!$A$2:$B99,2,false),)</f>
        <v/>
      </c>
      <c r="AY28" s="10" t="str">
        <f t="shared" si="8"/>
        <v/>
      </c>
      <c r="AZ28" s="10" t="str">
        <f>if(ISNUMBER($A28), VLOOKUP(AI28, mapping!$A$2:$B99,2,false),)</f>
        <v/>
      </c>
      <c r="BA28" s="10" t="str">
        <f t="shared" si="9"/>
        <v/>
      </c>
      <c r="BB28" s="10" t="str">
        <f>if(ISNUMBER($A28), VLOOKUP(AK28, mapping!$A$2:$B99,2,false),)</f>
        <v/>
      </c>
      <c r="BC28" s="10" t="str">
        <f t="shared" ref="BC28:BD28" si="35">if(ISNUMBER($A28), IF(AL28="Not Answered","-",AL28),)</f>
        <v/>
      </c>
      <c r="BD28" s="10" t="str">
        <f t="shared" si="35"/>
        <v/>
      </c>
    </row>
    <row r="29">
      <c r="AN29" s="5" t="str">
        <f t="shared" si="3"/>
        <v/>
      </c>
      <c r="AO29" s="5" t="str">
        <f t="shared" si="4"/>
        <v/>
      </c>
      <c r="AP29" s="5" t="str">
        <f>IFERROR(__xludf.DUMMYFUNCTION("if(ISNUMBER(A29),FILTER(O29:Z29,REGEXMATCH(O29:Z29, ""Not Answered"")=FALSE),)"),"")</f>
        <v/>
      </c>
      <c r="AQ29" s="5" t="str">
        <f>if(ISNUMBER($C29), VLOOKUP(AP29, konsulenter!$A$1:$B99,2,false),)</f>
        <v/>
      </c>
      <c r="AR29" s="10" t="str">
        <f>if(ISNUMBER($A29), VLOOKUP(AA29, mapping!$A$2:$B99,2,false),)</f>
        <v/>
      </c>
      <c r="AS29" s="10" t="str">
        <f t="shared" si="5"/>
        <v/>
      </c>
      <c r="AT29" s="10" t="str">
        <f>if(ISNUMBER($A29), VLOOKUP(AC29, mapping!$A$2:$B99,2,false),)</f>
        <v/>
      </c>
      <c r="AU29" s="10" t="str">
        <f t="shared" si="6"/>
        <v/>
      </c>
      <c r="AV29" s="10" t="str">
        <f>if(ISNUMBER($A29), VLOOKUP(AE29, mapping!$A$2:$B99,2,false),)</f>
        <v/>
      </c>
      <c r="AW29" s="10" t="str">
        <f t="shared" si="7"/>
        <v/>
      </c>
      <c r="AX29" s="10" t="str">
        <f>if(ISNUMBER($A29), VLOOKUP(AG29, mapping!$A$2:$B99,2,false),)</f>
        <v/>
      </c>
      <c r="AY29" s="10" t="str">
        <f t="shared" si="8"/>
        <v/>
      </c>
      <c r="AZ29" s="10" t="str">
        <f>if(ISNUMBER($A29), VLOOKUP(AI29, mapping!$A$2:$B99,2,false),)</f>
        <v/>
      </c>
      <c r="BA29" s="10" t="str">
        <f t="shared" si="9"/>
        <v/>
      </c>
      <c r="BB29" s="10" t="str">
        <f>if(ISNUMBER($A29), VLOOKUP(AK29, mapping!$A$2:$B99,2,false),)</f>
        <v/>
      </c>
      <c r="BC29" s="10" t="str">
        <f t="shared" ref="BC29:BD29" si="36">if(ISNUMBER($A29), IF(AL29="Not Answered","-",AL29),)</f>
        <v/>
      </c>
      <c r="BD29" s="10" t="str">
        <f t="shared" si="36"/>
        <v/>
      </c>
    </row>
    <row r="30">
      <c r="AN30" s="5" t="str">
        <f t="shared" si="3"/>
        <v/>
      </c>
      <c r="AO30" s="5" t="str">
        <f t="shared" si="4"/>
        <v/>
      </c>
      <c r="AP30" s="5" t="str">
        <f>IFERROR(__xludf.DUMMYFUNCTION("if(ISNUMBER(A30),FILTER(O30:Z30,REGEXMATCH(O30:Z30, ""Not Answered"")=FALSE),)"),"")</f>
        <v/>
      </c>
      <c r="AQ30" s="5" t="str">
        <f>if(ISNUMBER($C30), VLOOKUP(AP30, konsulenter!$A$1:$B99,2,false),)</f>
        <v/>
      </c>
      <c r="AR30" s="10" t="str">
        <f>if(ISNUMBER($A30), VLOOKUP(AA30, mapping!$A$2:$B99,2,false),)</f>
        <v/>
      </c>
      <c r="AS30" s="10" t="str">
        <f t="shared" si="5"/>
        <v/>
      </c>
      <c r="AT30" s="10" t="str">
        <f>if(ISNUMBER($A30), VLOOKUP(AC30, mapping!$A$2:$B99,2,false),)</f>
        <v/>
      </c>
      <c r="AU30" s="10" t="str">
        <f t="shared" si="6"/>
        <v/>
      </c>
      <c r="AV30" s="10" t="str">
        <f>if(ISNUMBER($A30), VLOOKUP(AE30, mapping!$A$2:$B99,2,false),)</f>
        <v/>
      </c>
      <c r="AW30" s="10" t="str">
        <f t="shared" si="7"/>
        <v/>
      </c>
      <c r="AX30" s="10" t="str">
        <f>if(ISNUMBER($A30), VLOOKUP(AG30, mapping!$A$2:$B99,2,false),)</f>
        <v/>
      </c>
      <c r="AY30" s="10" t="str">
        <f t="shared" si="8"/>
        <v/>
      </c>
      <c r="AZ30" s="10" t="str">
        <f>if(ISNUMBER($A30), VLOOKUP(AI30, mapping!$A$2:$B99,2,false),)</f>
        <v/>
      </c>
      <c r="BA30" s="10" t="str">
        <f t="shared" si="9"/>
        <v/>
      </c>
      <c r="BB30" s="10" t="str">
        <f>if(ISNUMBER($A30), VLOOKUP(AK30, mapping!$A$2:$B99,2,false),)</f>
        <v/>
      </c>
      <c r="BC30" s="10" t="str">
        <f t="shared" ref="BC30:BD30" si="37">if(ISNUMBER($A30), IF(AL30="Not Answered","-",AL30),)</f>
        <v/>
      </c>
      <c r="BD30" s="10" t="str">
        <f t="shared" si="37"/>
        <v/>
      </c>
    </row>
    <row r="31">
      <c r="AN31" s="5" t="str">
        <f t="shared" si="3"/>
        <v/>
      </c>
      <c r="AO31" s="5" t="str">
        <f t="shared" si="4"/>
        <v/>
      </c>
      <c r="AP31" s="5" t="str">
        <f>IFERROR(__xludf.DUMMYFUNCTION("if(ISNUMBER(A31),FILTER(O31:Z31,REGEXMATCH(O31:Z31, ""Not Answered"")=FALSE),)"),"")</f>
        <v/>
      </c>
      <c r="AQ31" s="5" t="str">
        <f>if(ISNUMBER($C31), VLOOKUP(AP31, konsulenter!$A$1:$B99,2,false),)</f>
        <v/>
      </c>
      <c r="AR31" s="10" t="str">
        <f>if(ISNUMBER($A31), VLOOKUP(AA31, mapping!$A$2:$B99,2,false),)</f>
        <v/>
      </c>
      <c r="AS31" s="10" t="str">
        <f t="shared" si="5"/>
        <v/>
      </c>
      <c r="AT31" s="10" t="str">
        <f>if(ISNUMBER($A31), VLOOKUP(AC31, mapping!$A$2:$B99,2,false),)</f>
        <v/>
      </c>
      <c r="AU31" s="10" t="str">
        <f t="shared" si="6"/>
        <v/>
      </c>
      <c r="AV31" s="10" t="str">
        <f>if(ISNUMBER($A31), VLOOKUP(AE31, mapping!$A$2:$B99,2,false),)</f>
        <v/>
      </c>
      <c r="AW31" s="10" t="str">
        <f t="shared" si="7"/>
        <v/>
      </c>
      <c r="AX31" s="10" t="str">
        <f>if(ISNUMBER($A31), VLOOKUP(AG31, mapping!$A$2:$B99,2,false),)</f>
        <v/>
      </c>
      <c r="AY31" s="10" t="str">
        <f t="shared" si="8"/>
        <v/>
      </c>
      <c r="AZ31" s="10" t="str">
        <f>if(ISNUMBER($A31), VLOOKUP(AI31, mapping!$A$2:$B99,2,false),)</f>
        <v/>
      </c>
      <c r="BA31" s="10" t="str">
        <f t="shared" si="9"/>
        <v/>
      </c>
      <c r="BB31" s="10" t="str">
        <f>if(ISNUMBER($A31), VLOOKUP(AK31, mapping!$A$2:$B99,2,false),)</f>
        <v/>
      </c>
      <c r="BC31" s="10" t="str">
        <f t="shared" ref="BC31:BD31" si="38">if(ISNUMBER($A31), IF(AL31="Not Answered","-",AL31),)</f>
        <v/>
      </c>
      <c r="BD31" s="10" t="str">
        <f t="shared" si="38"/>
        <v/>
      </c>
    </row>
    <row r="32">
      <c r="AN32" s="5" t="str">
        <f t="shared" si="3"/>
        <v/>
      </c>
      <c r="AO32" s="5" t="str">
        <f t="shared" si="4"/>
        <v/>
      </c>
      <c r="AP32" s="5" t="str">
        <f>IFERROR(__xludf.DUMMYFUNCTION("if(ISNUMBER(A32),FILTER(O32:Z32,REGEXMATCH(O32:Z32, ""Not Answered"")=FALSE),)"),"")</f>
        <v/>
      </c>
      <c r="AQ32" s="5" t="str">
        <f>if(ISNUMBER($C32), VLOOKUP(AP32, konsulenter!$A$1:$B99,2,false),)</f>
        <v/>
      </c>
      <c r="AR32" s="10" t="str">
        <f>if(ISNUMBER($A32), VLOOKUP(AA32, mapping!$A$2:$B99,2,false),)</f>
        <v/>
      </c>
      <c r="AS32" s="10" t="str">
        <f t="shared" si="5"/>
        <v/>
      </c>
      <c r="AT32" s="10" t="str">
        <f>if(ISNUMBER($A32), VLOOKUP(AC32, mapping!$A$2:$B99,2,false),)</f>
        <v/>
      </c>
      <c r="AU32" s="10" t="str">
        <f t="shared" si="6"/>
        <v/>
      </c>
      <c r="AV32" s="10" t="str">
        <f>if(ISNUMBER($A32), VLOOKUP(AE32, mapping!$A$2:$B99,2,false),)</f>
        <v/>
      </c>
      <c r="AW32" s="10" t="str">
        <f t="shared" si="7"/>
        <v/>
      </c>
      <c r="AX32" s="10" t="str">
        <f>if(ISNUMBER($A32), VLOOKUP(AG32, mapping!$A$2:$B99,2,false),)</f>
        <v/>
      </c>
      <c r="AY32" s="10" t="str">
        <f t="shared" si="8"/>
        <v/>
      </c>
      <c r="AZ32" s="10" t="str">
        <f>if(ISNUMBER($A32), VLOOKUP(AI32, mapping!$A$2:$B99,2,false),)</f>
        <v/>
      </c>
      <c r="BA32" s="10" t="str">
        <f t="shared" si="9"/>
        <v/>
      </c>
      <c r="BB32" s="10" t="str">
        <f>if(ISNUMBER($A32), VLOOKUP(AK32, mapping!$A$2:$B99,2,false),)</f>
        <v/>
      </c>
      <c r="BC32" s="10" t="str">
        <f t="shared" ref="BC32:BD32" si="39">if(ISNUMBER($A32), IF(AL32="Not Answered","-",AL32),)</f>
        <v/>
      </c>
      <c r="BD32" s="10" t="str">
        <f t="shared" si="39"/>
        <v/>
      </c>
    </row>
    <row r="33">
      <c r="AN33" s="5" t="str">
        <f t="shared" si="3"/>
        <v/>
      </c>
      <c r="AO33" s="5" t="str">
        <f t="shared" si="4"/>
        <v/>
      </c>
      <c r="AP33" s="5" t="str">
        <f>IFERROR(__xludf.DUMMYFUNCTION("if(ISNUMBER(A33),FILTER(O33:Z33,REGEXMATCH(O33:Z33, ""Not Answered"")=FALSE),)"),"")</f>
        <v/>
      </c>
      <c r="AQ33" s="5" t="str">
        <f>if(ISNUMBER($C33), VLOOKUP(AP33, konsulenter!$A$1:$B99,2,false),)</f>
        <v/>
      </c>
      <c r="AR33" s="10" t="str">
        <f>if(ISNUMBER($A33), VLOOKUP(AA33, mapping!$A$2:$B99,2,false),)</f>
        <v/>
      </c>
      <c r="AS33" s="10" t="str">
        <f t="shared" si="5"/>
        <v/>
      </c>
      <c r="AT33" s="10" t="str">
        <f>if(ISNUMBER($A33), VLOOKUP(AC33, mapping!$A$2:$B99,2,false),)</f>
        <v/>
      </c>
      <c r="AU33" s="10" t="str">
        <f t="shared" si="6"/>
        <v/>
      </c>
      <c r="AV33" s="10" t="str">
        <f>if(ISNUMBER($A33), VLOOKUP(AE33, mapping!$A$2:$B99,2,false),)</f>
        <v/>
      </c>
      <c r="AW33" s="10" t="str">
        <f t="shared" si="7"/>
        <v/>
      </c>
      <c r="AX33" s="10" t="str">
        <f>if(ISNUMBER($A33), VLOOKUP(AG33, mapping!$A$2:$B99,2,false),)</f>
        <v/>
      </c>
      <c r="AY33" s="10" t="str">
        <f t="shared" si="8"/>
        <v/>
      </c>
      <c r="AZ33" s="10" t="str">
        <f>if(ISNUMBER($A33), VLOOKUP(AI33, mapping!$A$2:$B99,2,false),)</f>
        <v/>
      </c>
      <c r="BA33" s="10" t="str">
        <f t="shared" si="9"/>
        <v/>
      </c>
      <c r="BB33" s="10" t="str">
        <f>if(ISNUMBER($A33), VLOOKUP(AK33, mapping!$A$2:$B99,2,false),)</f>
        <v/>
      </c>
      <c r="BC33" s="10" t="str">
        <f t="shared" ref="BC33:BD33" si="40">if(ISNUMBER($A33), IF(AL33="Not Answered","-",AL33),)</f>
        <v/>
      </c>
      <c r="BD33" s="10" t="str">
        <f t="shared" si="40"/>
        <v/>
      </c>
    </row>
    <row r="34">
      <c r="AN34" s="5" t="str">
        <f t="shared" si="3"/>
        <v/>
      </c>
      <c r="AO34" s="5" t="str">
        <f t="shared" si="4"/>
        <v/>
      </c>
      <c r="AP34" s="5" t="str">
        <f>IFERROR(__xludf.DUMMYFUNCTION("if(ISNUMBER(A34),FILTER(O34:Z34,REGEXMATCH(O34:Z34, ""Not Answered"")=FALSE),)"),"")</f>
        <v/>
      </c>
      <c r="AQ34" s="5" t="str">
        <f>if(ISNUMBER($C34), VLOOKUP(AP34, konsulenter!$A$1:$B99,2,false),)</f>
        <v/>
      </c>
      <c r="AR34" s="10" t="str">
        <f>if(ISNUMBER($A34), VLOOKUP(AA34, mapping!$A$2:$B99,2,false),)</f>
        <v/>
      </c>
      <c r="AS34" s="10" t="str">
        <f t="shared" si="5"/>
        <v/>
      </c>
      <c r="AT34" s="10" t="str">
        <f>if(ISNUMBER($A34), VLOOKUP(AC34, mapping!$A$2:$B99,2,false),)</f>
        <v/>
      </c>
      <c r="AU34" s="10" t="str">
        <f t="shared" si="6"/>
        <v/>
      </c>
      <c r="AV34" s="10" t="str">
        <f>if(ISNUMBER($A34), VLOOKUP(AE34, mapping!$A$2:$B99,2,false),)</f>
        <v/>
      </c>
      <c r="AW34" s="10" t="str">
        <f t="shared" si="7"/>
        <v/>
      </c>
      <c r="AX34" s="10" t="str">
        <f>if(ISNUMBER($A34), VLOOKUP(AG34, mapping!$A$2:$B99,2,false),)</f>
        <v/>
      </c>
      <c r="AY34" s="10" t="str">
        <f t="shared" si="8"/>
        <v/>
      </c>
      <c r="AZ34" s="10" t="str">
        <f>if(ISNUMBER($A34), VLOOKUP(AI34, mapping!$A$2:$B99,2,false),)</f>
        <v/>
      </c>
      <c r="BA34" s="10" t="str">
        <f t="shared" si="9"/>
        <v/>
      </c>
      <c r="BB34" s="10" t="str">
        <f>if(ISNUMBER($A34), VLOOKUP(AK34, mapping!$A$2:$B99,2,false),)</f>
        <v/>
      </c>
      <c r="BC34" s="10" t="str">
        <f t="shared" ref="BC34:BD34" si="41">if(ISNUMBER($A34), IF(AL34="Not Answered","-",AL34),)</f>
        <v/>
      </c>
      <c r="BD34" s="10" t="str">
        <f t="shared" si="41"/>
        <v/>
      </c>
    </row>
    <row r="35">
      <c r="AN35" s="5" t="str">
        <f t="shared" si="3"/>
        <v/>
      </c>
      <c r="AO35" s="5" t="str">
        <f t="shared" si="4"/>
        <v/>
      </c>
      <c r="AP35" s="5" t="str">
        <f>IFERROR(__xludf.DUMMYFUNCTION("if(ISNUMBER(A35),FILTER(O35:Z35,REGEXMATCH(O35:Z35, ""Not Answered"")=FALSE),)"),"")</f>
        <v/>
      </c>
      <c r="AQ35" s="5" t="str">
        <f>if(ISNUMBER($C35), VLOOKUP(AP35, konsulenter!$A$1:$B99,2,false),)</f>
        <v/>
      </c>
      <c r="AR35" s="10" t="str">
        <f>if(ISNUMBER($A35), VLOOKUP(AA35, mapping!$A$2:$B99,2,false),)</f>
        <v/>
      </c>
      <c r="AS35" s="10" t="str">
        <f t="shared" si="5"/>
        <v/>
      </c>
      <c r="AT35" s="10" t="str">
        <f>if(ISNUMBER($A35), VLOOKUP(AC35, mapping!$A$2:$B99,2,false),)</f>
        <v/>
      </c>
      <c r="AU35" s="10" t="str">
        <f t="shared" si="6"/>
        <v/>
      </c>
      <c r="AV35" s="10" t="str">
        <f>if(ISNUMBER($A35), VLOOKUP(AE35, mapping!$A$2:$B99,2,false),)</f>
        <v/>
      </c>
      <c r="AW35" s="10" t="str">
        <f t="shared" si="7"/>
        <v/>
      </c>
      <c r="AX35" s="10" t="str">
        <f>if(ISNUMBER($A35), VLOOKUP(AG35, mapping!$A$2:$B99,2,false),)</f>
        <v/>
      </c>
      <c r="AY35" s="10" t="str">
        <f t="shared" si="8"/>
        <v/>
      </c>
      <c r="AZ35" s="10" t="str">
        <f>if(ISNUMBER($A35), VLOOKUP(AI35, mapping!$A$2:$B99,2,false),)</f>
        <v/>
      </c>
      <c r="BA35" s="10" t="str">
        <f t="shared" si="9"/>
        <v/>
      </c>
      <c r="BB35" s="10" t="str">
        <f>if(ISNUMBER($A35), VLOOKUP(AK35, mapping!$A$2:$B99,2,false),)</f>
        <v/>
      </c>
      <c r="BC35" s="10" t="str">
        <f t="shared" ref="BC35:BD35" si="42">if(ISNUMBER($A35), IF(AL35="Not Answered","-",AL35),)</f>
        <v/>
      </c>
      <c r="BD35" s="10" t="str">
        <f t="shared" si="42"/>
        <v/>
      </c>
    </row>
    <row r="36">
      <c r="AN36" s="5" t="str">
        <f t="shared" si="3"/>
        <v/>
      </c>
      <c r="AO36" s="5" t="str">
        <f t="shared" si="4"/>
        <v/>
      </c>
      <c r="AP36" s="5" t="str">
        <f>IFERROR(__xludf.DUMMYFUNCTION("if(ISNUMBER(A36),FILTER(O36:Z36,REGEXMATCH(O36:Z36, ""Not Answered"")=FALSE),)"),"")</f>
        <v/>
      </c>
      <c r="AQ36" s="5" t="str">
        <f>if(ISNUMBER($C36), VLOOKUP(AP36, konsulenter!$A$1:$B99,2,false),)</f>
        <v/>
      </c>
      <c r="AR36" s="10" t="str">
        <f>if(ISNUMBER($A36), VLOOKUP(AA36, mapping!$A$2:$B99,2,false),)</f>
        <v/>
      </c>
      <c r="AS36" s="10" t="str">
        <f t="shared" si="5"/>
        <v/>
      </c>
      <c r="AT36" s="10" t="str">
        <f>if(ISNUMBER($A36), VLOOKUP(AC36, mapping!$A$2:$B99,2,false),)</f>
        <v/>
      </c>
      <c r="AU36" s="10" t="str">
        <f t="shared" si="6"/>
        <v/>
      </c>
      <c r="AV36" s="10" t="str">
        <f>if(ISNUMBER($A36), VLOOKUP(AE36, mapping!$A$2:$B99,2,false),)</f>
        <v/>
      </c>
      <c r="AW36" s="10" t="str">
        <f t="shared" si="7"/>
        <v/>
      </c>
      <c r="AX36" s="10" t="str">
        <f>if(ISNUMBER($A36), VLOOKUP(AG36, mapping!$A$2:$B99,2,false),)</f>
        <v/>
      </c>
      <c r="AY36" s="10" t="str">
        <f t="shared" si="8"/>
        <v/>
      </c>
      <c r="AZ36" s="10" t="str">
        <f>if(ISNUMBER($A36), VLOOKUP(AI36, mapping!$A$2:$B99,2,false),)</f>
        <v/>
      </c>
      <c r="BA36" s="10" t="str">
        <f t="shared" si="9"/>
        <v/>
      </c>
      <c r="BB36" s="10" t="str">
        <f>if(ISNUMBER($A36), VLOOKUP(AK36, mapping!$A$2:$B99,2,false),)</f>
        <v/>
      </c>
      <c r="BC36" s="10" t="str">
        <f t="shared" ref="BC36:BD36" si="43">if(ISNUMBER($A36), IF(AL36="Not Answered","-",AL36),)</f>
        <v/>
      </c>
      <c r="BD36" s="10" t="str">
        <f t="shared" si="43"/>
        <v/>
      </c>
    </row>
    <row r="37">
      <c r="AN37" s="5" t="str">
        <f t="shared" si="3"/>
        <v/>
      </c>
      <c r="AO37" s="5" t="str">
        <f t="shared" si="4"/>
        <v/>
      </c>
      <c r="AP37" s="5" t="str">
        <f>IFERROR(__xludf.DUMMYFUNCTION("if(ISNUMBER(A37),FILTER(O37:Z37,REGEXMATCH(O37:Z37, ""Not Answered"")=FALSE),)"),"")</f>
        <v/>
      </c>
      <c r="AQ37" s="5" t="str">
        <f>if(ISNUMBER($C37), VLOOKUP(AP37, konsulenter!$A$1:$B99,2,false),)</f>
        <v/>
      </c>
      <c r="AR37" s="10" t="str">
        <f>if(ISNUMBER($A37), VLOOKUP(AA37, mapping!$A$2:$B99,2,false),)</f>
        <v/>
      </c>
      <c r="AS37" s="10" t="str">
        <f t="shared" si="5"/>
        <v/>
      </c>
      <c r="AT37" s="10" t="str">
        <f>if(ISNUMBER($A37), VLOOKUP(AC37, mapping!$A$2:$B99,2,false),)</f>
        <v/>
      </c>
      <c r="AU37" s="10" t="str">
        <f t="shared" si="6"/>
        <v/>
      </c>
      <c r="AV37" s="10" t="str">
        <f>if(ISNUMBER($A37), VLOOKUP(AE37, mapping!$A$2:$B99,2,false),)</f>
        <v/>
      </c>
      <c r="AW37" s="10" t="str">
        <f t="shared" si="7"/>
        <v/>
      </c>
      <c r="AX37" s="10" t="str">
        <f>if(ISNUMBER($A37), VLOOKUP(AG37, mapping!$A$2:$B99,2,false),)</f>
        <v/>
      </c>
      <c r="AY37" s="10" t="str">
        <f t="shared" si="8"/>
        <v/>
      </c>
      <c r="AZ37" s="10" t="str">
        <f>if(ISNUMBER($A37), VLOOKUP(AI37, mapping!$A$2:$B99,2,false),)</f>
        <v/>
      </c>
      <c r="BA37" s="10" t="str">
        <f t="shared" si="9"/>
        <v/>
      </c>
      <c r="BB37" s="10" t="str">
        <f>if(ISNUMBER($A37), VLOOKUP(AK37, mapping!$A$2:$B99,2,false),)</f>
        <v/>
      </c>
      <c r="BC37" s="10" t="str">
        <f t="shared" ref="BC37:BD37" si="44">if(ISNUMBER($A37), IF(AL37="Not Answered","-",AL37),)</f>
        <v/>
      </c>
      <c r="BD37" s="10" t="str">
        <f t="shared" si="44"/>
        <v/>
      </c>
    </row>
    <row r="38">
      <c r="AN38" s="5" t="str">
        <f t="shared" si="3"/>
        <v/>
      </c>
      <c r="AO38" s="5" t="str">
        <f t="shared" si="4"/>
        <v/>
      </c>
      <c r="AP38" s="5" t="str">
        <f>IFERROR(__xludf.DUMMYFUNCTION("if(ISNUMBER(A38),FILTER(O38:Z38,REGEXMATCH(O38:Z38, ""Not Answered"")=FALSE),)"),"")</f>
        <v/>
      </c>
      <c r="AQ38" s="5" t="str">
        <f>if(ISNUMBER($C38), VLOOKUP(AP38, konsulenter!$A$1:$B99,2,false),)</f>
        <v/>
      </c>
      <c r="AR38" s="10" t="str">
        <f>if(ISNUMBER($A38), VLOOKUP(AA38, mapping!$A$2:$B99,2,false),)</f>
        <v/>
      </c>
      <c r="AS38" s="10" t="str">
        <f t="shared" si="5"/>
        <v/>
      </c>
      <c r="AT38" s="10" t="str">
        <f>if(ISNUMBER($A38), VLOOKUP(AC38, mapping!$A$2:$B99,2,false),)</f>
        <v/>
      </c>
      <c r="AU38" s="10" t="str">
        <f t="shared" si="6"/>
        <v/>
      </c>
      <c r="AV38" s="10" t="str">
        <f>if(ISNUMBER($A38), VLOOKUP(AE38, mapping!$A$2:$B99,2,false),)</f>
        <v/>
      </c>
      <c r="AW38" s="10" t="str">
        <f t="shared" si="7"/>
        <v/>
      </c>
      <c r="AX38" s="10" t="str">
        <f>if(ISNUMBER($A38), VLOOKUP(AG38, mapping!$A$2:$B99,2,false),)</f>
        <v/>
      </c>
      <c r="AY38" s="10" t="str">
        <f t="shared" si="8"/>
        <v/>
      </c>
      <c r="AZ38" s="10" t="str">
        <f>if(ISNUMBER($A38), VLOOKUP(AI38, mapping!$A$2:$B99,2,false),)</f>
        <v/>
      </c>
      <c r="BA38" s="10" t="str">
        <f t="shared" si="9"/>
        <v/>
      </c>
      <c r="BB38" s="10" t="str">
        <f>if(ISNUMBER($A38), VLOOKUP(AK38, mapping!$A$2:$B99,2,false),)</f>
        <v/>
      </c>
      <c r="BC38" s="10" t="str">
        <f t="shared" ref="BC38:BD38" si="45">if(ISNUMBER($A38), IF(AL38="Not Answered","-",AL38),)</f>
        <v/>
      </c>
      <c r="BD38" s="10" t="str">
        <f t="shared" si="45"/>
        <v/>
      </c>
    </row>
    <row r="39">
      <c r="AN39" s="5" t="str">
        <f t="shared" si="3"/>
        <v/>
      </c>
      <c r="AO39" s="5" t="str">
        <f t="shared" si="4"/>
        <v/>
      </c>
      <c r="AP39" s="5" t="str">
        <f>IFERROR(__xludf.DUMMYFUNCTION("if(ISNUMBER(A39),FILTER(O39:Z39,REGEXMATCH(O39:Z39, ""Not Answered"")=FALSE),)"),"")</f>
        <v/>
      </c>
      <c r="AQ39" s="5" t="str">
        <f>if(ISNUMBER($C39), VLOOKUP(AP39, konsulenter!$A$1:$B99,2,false),)</f>
        <v/>
      </c>
      <c r="AR39" s="10" t="str">
        <f>if(ISNUMBER($A39), VLOOKUP(AA39, mapping!$A$2:$B99,2,false),)</f>
        <v/>
      </c>
      <c r="AS39" s="10" t="str">
        <f t="shared" si="5"/>
        <v/>
      </c>
      <c r="AT39" s="10" t="str">
        <f>if(ISNUMBER($A39), VLOOKUP(AC39, mapping!$A$2:$B99,2,false),)</f>
        <v/>
      </c>
      <c r="AU39" s="10" t="str">
        <f t="shared" si="6"/>
        <v/>
      </c>
      <c r="AV39" s="10" t="str">
        <f>if(ISNUMBER($A39), VLOOKUP(AE39, mapping!$A$2:$B99,2,false),)</f>
        <v/>
      </c>
      <c r="AW39" s="10" t="str">
        <f t="shared" si="7"/>
        <v/>
      </c>
      <c r="AX39" s="10" t="str">
        <f>if(ISNUMBER($A39), VLOOKUP(AG39, mapping!$A$2:$B99,2,false),)</f>
        <v/>
      </c>
      <c r="AY39" s="10" t="str">
        <f t="shared" si="8"/>
        <v/>
      </c>
      <c r="AZ39" s="10" t="str">
        <f>if(ISNUMBER($A39), VLOOKUP(AI39, mapping!$A$2:$B99,2,false),)</f>
        <v/>
      </c>
      <c r="BA39" s="10" t="str">
        <f t="shared" si="9"/>
        <v/>
      </c>
      <c r="BB39" s="10" t="str">
        <f>if(ISNUMBER($A39), VLOOKUP(AK39, mapping!$A$2:$B99,2,false),)</f>
        <v/>
      </c>
      <c r="BC39" s="10" t="str">
        <f t="shared" ref="BC39:BD39" si="46">if(ISNUMBER($A39), IF(AL39="Not Answered","-",AL39),)</f>
        <v/>
      </c>
      <c r="BD39" s="10" t="str">
        <f t="shared" si="46"/>
        <v/>
      </c>
    </row>
    <row r="40">
      <c r="AN40" s="5" t="str">
        <f t="shared" si="3"/>
        <v/>
      </c>
      <c r="AO40" s="5" t="str">
        <f t="shared" si="4"/>
        <v/>
      </c>
      <c r="AP40" s="5" t="str">
        <f>IFERROR(__xludf.DUMMYFUNCTION("if(ISNUMBER(A40),FILTER(O40:Z40,REGEXMATCH(O40:Z40, ""Not Answered"")=FALSE),)"),"")</f>
        <v/>
      </c>
      <c r="AQ40" s="5" t="str">
        <f>if(ISNUMBER($C40), VLOOKUP(AP40, konsulenter!$A$1:$B99,2,false),)</f>
        <v/>
      </c>
      <c r="AR40" s="10" t="str">
        <f>if(ISNUMBER($A40), VLOOKUP(AA40, mapping!$A$2:$B99,2,false),)</f>
        <v/>
      </c>
      <c r="AS40" s="10" t="str">
        <f t="shared" si="5"/>
        <v/>
      </c>
      <c r="AT40" s="10" t="str">
        <f>if(ISNUMBER($A40), VLOOKUP(AC40, mapping!$A$2:$B99,2,false),)</f>
        <v/>
      </c>
      <c r="AU40" s="10" t="str">
        <f t="shared" si="6"/>
        <v/>
      </c>
      <c r="AV40" s="10" t="str">
        <f>if(ISNUMBER($A40), VLOOKUP(AE40, mapping!$A$2:$B99,2,false),)</f>
        <v/>
      </c>
      <c r="AW40" s="10" t="str">
        <f t="shared" si="7"/>
        <v/>
      </c>
      <c r="AX40" s="10" t="str">
        <f>if(ISNUMBER($A40), VLOOKUP(AG40, mapping!$A$2:$B99,2,false),)</f>
        <v/>
      </c>
      <c r="AY40" s="10" t="str">
        <f t="shared" si="8"/>
        <v/>
      </c>
      <c r="AZ40" s="10" t="str">
        <f>if(ISNUMBER($A40), VLOOKUP(AI40, mapping!$A$2:$B99,2,false),)</f>
        <v/>
      </c>
      <c r="BA40" s="10" t="str">
        <f t="shared" si="9"/>
        <v/>
      </c>
      <c r="BB40" s="10" t="str">
        <f>if(ISNUMBER($A40), VLOOKUP(AK40, mapping!$A$2:$B99,2,false),)</f>
        <v/>
      </c>
      <c r="BC40" s="10" t="str">
        <f t="shared" ref="BC40:BD40" si="47">if(ISNUMBER($A40), IF(AL40="Not Answered","-",AL40),)</f>
        <v/>
      </c>
      <c r="BD40" s="10" t="str">
        <f t="shared" si="47"/>
        <v/>
      </c>
    </row>
    <row r="41">
      <c r="AN41" s="5" t="str">
        <f t="shared" si="3"/>
        <v/>
      </c>
      <c r="AO41" s="5" t="str">
        <f t="shared" si="4"/>
        <v/>
      </c>
      <c r="AP41" s="5" t="str">
        <f>IFERROR(__xludf.DUMMYFUNCTION("if(ISNUMBER(A41),FILTER(O41:Z41,REGEXMATCH(O41:Z41, ""Not Answered"")=FALSE),)"),"")</f>
        <v/>
      </c>
      <c r="AQ41" s="5" t="str">
        <f>if(ISNUMBER($C41), VLOOKUP(AP41, konsulenter!$A$1:$B99,2,false),)</f>
        <v/>
      </c>
      <c r="AR41" s="10" t="str">
        <f>if(ISNUMBER($A41), VLOOKUP(AA41, mapping!$A$2:$B99,2,false),)</f>
        <v/>
      </c>
      <c r="AS41" s="10" t="str">
        <f t="shared" si="5"/>
        <v/>
      </c>
      <c r="AT41" s="10" t="str">
        <f>if(ISNUMBER($A41), VLOOKUP(AC41, mapping!$A$2:$B99,2,false),)</f>
        <v/>
      </c>
      <c r="AU41" s="10" t="str">
        <f t="shared" si="6"/>
        <v/>
      </c>
      <c r="AV41" s="10" t="str">
        <f>if(ISNUMBER($A41), VLOOKUP(AE41, mapping!$A$2:$B99,2,false),)</f>
        <v/>
      </c>
      <c r="AW41" s="10" t="str">
        <f t="shared" si="7"/>
        <v/>
      </c>
      <c r="AX41" s="10" t="str">
        <f>if(ISNUMBER($A41), VLOOKUP(AG41, mapping!$A$2:$B99,2,false),)</f>
        <v/>
      </c>
      <c r="AY41" s="10" t="str">
        <f t="shared" si="8"/>
        <v/>
      </c>
      <c r="AZ41" s="10" t="str">
        <f>if(ISNUMBER($A41), VLOOKUP(AI41, mapping!$A$2:$B99,2,false),)</f>
        <v/>
      </c>
      <c r="BA41" s="10" t="str">
        <f t="shared" si="9"/>
        <v/>
      </c>
      <c r="BB41" s="10" t="str">
        <f>if(ISNUMBER($A41), VLOOKUP(AK41, mapping!$A$2:$B99,2,false),)</f>
        <v/>
      </c>
      <c r="BC41" s="10" t="str">
        <f t="shared" ref="BC41:BD41" si="48">if(ISNUMBER($A41), IF(AL41="Not Answered","-",AL41),)</f>
        <v/>
      </c>
      <c r="BD41" s="10" t="str">
        <f t="shared" si="48"/>
        <v/>
      </c>
    </row>
    <row r="42">
      <c r="AN42" s="5" t="str">
        <f t="shared" si="3"/>
        <v/>
      </c>
      <c r="AO42" s="5" t="str">
        <f t="shared" si="4"/>
        <v/>
      </c>
      <c r="AP42" s="5" t="str">
        <f>IFERROR(__xludf.DUMMYFUNCTION("if(ISNUMBER(A42),FILTER(O42:Z42,REGEXMATCH(O42:Z42, ""Not Answered"")=FALSE),)"),"")</f>
        <v/>
      </c>
      <c r="AQ42" s="5" t="str">
        <f>if(ISNUMBER($C42), VLOOKUP(AP42, konsulenter!$A$1:$B99,2,false),)</f>
        <v/>
      </c>
      <c r="AR42" s="10" t="str">
        <f>if(ISNUMBER($A42), VLOOKUP(AA42, mapping!$A$2:$B99,2,false),)</f>
        <v/>
      </c>
      <c r="AS42" s="10" t="str">
        <f t="shared" si="5"/>
        <v/>
      </c>
      <c r="AT42" s="10" t="str">
        <f>if(ISNUMBER($A42), VLOOKUP(AC42, mapping!$A$2:$B99,2,false),)</f>
        <v/>
      </c>
      <c r="AU42" s="10" t="str">
        <f t="shared" si="6"/>
        <v/>
      </c>
      <c r="AV42" s="10" t="str">
        <f>if(ISNUMBER($A42), VLOOKUP(AE42, mapping!$A$2:$B99,2,false),)</f>
        <v/>
      </c>
      <c r="AW42" s="10" t="str">
        <f t="shared" si="7"/>
        <v/>
      </c>
      <c r="AX42" s="10" t="str">
        <f>if(ISNUMBER($A42), VLOOKUP(AG42, mapping!$A$2:$B99,2,false),)</f>
        <v/>
      </c>
      <c r="AY42" s="10" t="str">
        <f t="shared" si="8"/>
        <v/>
      </c>
      <c r="AZ42" s="10" t="str">
        <f>if(ISNUMBER($A42), VLOOKUP(AI42, mapping!$A$2:$B99,2,false),)</f>
        <v/>
      </c>
      <c r="BA42" s="10" t="str">
        <f t="shared" si="9"/>
        <v/>
      </c>
      <c r="BB42" s="10" t="str">
        <f>if(ISNUMBER($A42), VLOOKUP(AK42, mapping!$A$2:$B99,2,false),)</f>
        <v/>
      </c>
      <c r="BC42" s="10" t="str">
        <f t="shared" ref="BC42:BD42" si="49">if(ISNUMBER($A42), IF(AL42="Not Answered","-",AL42),)</f>
        <v/>
      </c>
      <c r="BD42" s="10" t="str">
        <f t="shared" si="49"/>
        <v/>
      </c>
    </row>
    <row r="43">
      <c r="AN43" s="5" t="str">
        <f t="shared" si="3"/>
        <v/>
      </c>
      <c r="AO43" s="5" t="str">
        <f t="shared" si="4"/>
        <v/>
      </c>
      <c r="AP43" s="5" t="str">
        <f>IFERROR(__xludf.DUMMYFUNCTION("if(ISNUMBER(A43),FILTER(O43:Z43,REGEXMATCH(O43:Z43, ""Not Answered"")=FALSE),)"),"")</f>
        <v/>
      </c>
      <c r="AQ43" s="5" t="str">
        <f>if(ISNUMBER($C43), VLOOKUP(AP43, konsulenter!$A$1:$B99,2,false),)</f>
        <v/>
      </c>
      <c r="AR43" s="10" t="str">
        <f>if(ISNUMBER($A43), VLOOKUP(AA43, mapping!$A$2:$B99,2,false),)</f>
        <v/>
      </c>
      <c r="AS43" s="10" t="str">
        <f t="shared" si="5"/>
        <v/>
      </c>
      <c r="AT43" s="10" t="str">
        <f>if(ISNUMBER($A43), VLOOKUP(AC43, mapping!$A$2:$B99,2,false),)</f>
        <v/>
      </c>
      <c r="AU43" s="10" t="str">
        <f t="shared" si="6"/>
        <v/>
      </c>
      <c r="AV43" s="10" t="str">
        <f>if(ISNUMBER($A43), VLOOKUP(AE43, mapping!$A$2:$B99,2,false),)</f>
        <v/>
      </c>
      <c r="AW43" s="10" t="str">
        <f t="shared" si="7"/>
        <v/>
      </c>
      <c r="AX43" s="10" t="str">
        <f>if(ISNUMBER($A43), VLOOKUP(AG43, mapping!$A$2:$B99,2,false),)</f>
        <v/>
      </c>
      <c r="AY43" s="10" t="str">
        <f t="shared" si="8"/>
        <v/>
      </c>
      <c r="AZ43" s="10" t="str">
        <f>if(ISNUMBER($A43), VLOOKUP(AI43, mapping!$A$2:$B99,2,false),)</f>
        <v/>
      </c>
      <c r="BA43" s="10" t="str">
        <f t="shared" si="9"/>
        <v/>
      </c>
      <c r="BB43" s="10" t="str">
        <f>if(ISNUMBER($A43), VLOOKUP(AK43, mapping!$A$2:$B99,2,false),)</f>
        <v/>
      </c>
      <c r="BC43" s="10" t="str">
        <f t="shared" ref="BC43:BD43" si="50">if(ISNUMBER($A43), IF(AL43="Not Answered","-",AL43),)</f>
        <v/>
      </c>
      <c r="BD43" s="10" t="str">
        <f t="shared" si="50"/>
        <v/>
      </c>
    </row>
    <row r="44">
      <c r="AN44" s="5" t="str">
        <f t="shared" si="3"/>
        <v/>
      </c>
      <c r="AO44" s="5" t="str">
        <f t="shared" si="4"/>
        <v/>
      </c>
      <c r="AP44" s="5" t="str">
        <f>IFERROR(__xludf.DUMMYFUNCTION("if(ISNUMBER(A44),FILTER(O44:Z44,REGEXMATCH(O44:Z44, ""Not Answered"")=FALSE),)"),"")</f>
        <v/>
      </c>
      <c r="AQ44" s="5" t="str">
        <f>if(ISNUMBER($C44), VLOOKUP(AP44, konsulenter!$A$1:$B99,2,false),)</f>
        <v/>
      </c>
      <c r="AR44" s="10" t="str">
        <f>if(ISNUMBER($A44), VLOOKUP(AA44, mapping!$A$2:$B99,2,false),)</f>
        <v/>
      </c>
      <c r="AS44" s="10" t="str">
        <f t="shared" si="5"/>
        <v/>
      </c>
      <c r="AT44" s="10" t="str">
        <f>if(ISNUMBER($A44), VLOOKUP(AC44, mapping!$A$2:$B99,2,false),)</f>
        <v/>
      </c>
      <c r="AU44" s="10" t="str">
        <f t="shared" si="6"/>
        <v/>
      </c>
      <c r="AV44" s="10" t="str">
        <f>if(ISNUMBER($A44), VLOOKUP(AE44, mapping!$A$2:$B99,2,false),)</f>
        <v/>
      </c>
      <c r="AW44" s="10" t="str">
        <f t="shared" si="7"/>
        <v/>
      </c>
      <c r="AX44" s="10" t="str">
        <f>if(ISNUMBER($A44), VLOOKUP(AG44, mapping!$A$2:$B99,2,false),)</f>
        <v/>
      </c>
      <c r="AY44" s="10" t="str">
        <f t="shared" si="8"/>
        <v/>
      </c>
      <c r="AZ44" s="10" t="str">
        <f>if(ISNUMBER($A44), VLOOKUP(AI44, mapping!$A$2:$B99,2,false),)</f>
        <v/>
      </c>
      <c r="BA44" s="10" t="str">
        <f t="shared" si="9"/>
        <v/>
      </c>
      <c r="BB44" s="10" t="str">
        <f>if(ISNUMBER($A44), VLOOKUP(AK44, mapping!$A$2:$B99,2,false),)</f>
        <v/>
      </c>
      <c r="BC44" s="10" t="str">
        <f t="shared" ref="BC44:BD44" si="51">if(ISNUMBER($A44), IF(AL44="Not Answered","-",AL44),)</f>
        <v/>
      </c>
      <c r="BD44" s="10" t="str">
        <f t="shared" si="51"/>
        <v/>
      </c>
    </row>
    <row r="45">
      <c r="AN45" s="5" t="str">
        <f t="shared" si="3"/>
        <v/>
      </c>
      <c r="AO45" s="5" t="str">
        <f t="shared" si="4"/>
        <v/>
      </c>
      <c r="AP45" s="5" t="str">
        <f>IFERROR(__xludf.DUMMYFUNCTION("if(ISNUMBER(A45),FILTER(O45:Z45,REGEXMATCH(O45:Z45, ""Not Answered"")=FALSE),)"),"")</f>
        <v/>
      </c>
      <c r="AQ45" s="5" t="str">
        <f>if(ISNUMBER($C45), VLOOKUP(AP45, konsulenter!$A$1:$B99,2,false),)</f>
        <v/>
      </c>
      <c r="AR45" s="10" t="str">
        <f>if(ISNUMBER($A45), VLOOKUP(AA45, mapping!$A$2:$B99,2,false),)</f>
        <v/>
      </c>
      <c r="AS45" s="10" t="str">
        <f t="shared" si="5"/>
        <v/>
      </c>
      <c r="AT45" s="10" t="str">
        <f>if(ISNUMBER($A45), VLOOKUP(AC45, mapping!$A$2:$B99,2,false),)</f>
        <v/>
      </c>
      <c r="AU45" s="10" t="str">
        <f t="shared" si="6"/>
        <v/>
      </c>
      <c r="AV45" s="10" t="str">
        <f>if(ISNUMBER($A45), VLOOKUP(AE45, mapping!$A$2:$B99,2,false),)</f>
        <v/>
      </c>
      <c r="AW45" s="10" t="str">
        <f t="shared" si="7"/>
        <v/>
      </c>
      <c r="AX45" s="10" t="str">
        <f>if(ISNUMBER($A45), VLOOKUP(AG45, mapping!$A$2:$B99,2,false),)</f>
        <v/>
      </c>
      <c r="AY45" s="10" t="str">
        <f t="shared" si="8"/>
        <v/>
      </c>
      <c r="AZ45" s="10" t="str">
        <f>if(ISNUMBER($A45), VLOOKUP(AI45, mapping!$A$2:$B99,2,false),)</f>
        <v/>
      </c>
      <c r="BA45" s="10" t="str">
        <f t="shared" si="9"/>
        <v/>
      </c>
      <c r="BB45" s="10" t="str">
        <f>if(ISNUMBER($A45), VLOOKUP(AK45, mapping!$A$2:$B99,2,false),)</f>
        <v/>
      </c>
      <c r="BC45" s="10" t="str">
        <f t="shared" ref="BC45:BD45" si="52">if(ISNUMBER($A45), IF(AL45="Not Answered","-",AL45),)</f>
        <v/>
      </c>
      <c r="BD45" s="10" t="str">
        <f t="shared" si="52"/>
        <v/>
      </c>
    </row>
    <row r="46">
      <c r="AN46" s="5" t="str">
        <f t="shared" si="3"/>
        <v/>
      </c>
      <c r="AO46" s="5" t="str">
        <f t="shared" si="4"/>
        <v/>
      </c>
      <c r="AP46" s="5" t="str">
        <f>IFERROR(__xludf.DUMMYFUNCTION("if(ISNUMBER(A46),FILTER(O46:Z46,REGEXMATCH(O46:Z46, ""Not Answered"")=FALSE),)"),"")</f>
        <v/>
      </c>
      <c r="AQ46" s="5" t="str">
        <f>if(ISNUMBER($C46), VLOOKUP(AP46, konsulenter!$A$1:$B99,2,false),)</f>
        <v/>
      </c>
      <c r="AR46" s="10" t="str">
        <f>if(ISNUMBER($A46), VLOOKUP(AA46, mapping!$A$2:$B99,2,false),)</f>
        <v/>
      </c>
      <c r="AS46" s="10" t="str">
        <f t="shared" si="5"/>
        <v/>
      </c>
      <c r="AT46" s="10" t="str">
        <f>if(ISNUMBER($A46), VLOOKUP(AC46, mapping!$A$2:$B99,2,false),)</f>
        <v/>
      </c>
      <c r="AU46" s="10" t="str">
        <f t="shared" si="6"/>
        <v/>
      </c>
      <c r="AV46" s="10" t="str">
        <f>if(ISNUMBER($A46), VLOOKUP(AE46, mapping!$A$2:$B99,2,false),)</f>
        <v/>
      </c>
      <c r="AW46" s="10" t="str">
        <f t="shared" si="7"/>
        <v/>
      </c>
      <c r="AX46" s="10" t="str">
        <f>if(ISNUMBER($A46), VLOOKUP(AG46, mapping!$A$2:$B99,2,false),)</f>
        <v/>
      </c>
      <c r="AY46" s="10" t="str">
        <f t="shared" si="8"/>
        <v/>
      </c>
      <c r="AZ46" s="10" t="str">
        <f>if(ISNUMBER($A46), VLOOKUP(AI46, mapping!$A$2:$B99,2,false),)</f>
        <v/>
      </c>
      <c r="BA46" s="10" t="str">
        <f t="shared" si="9"/>
        <v/>
      </c>
      <c r="BB46" s="10" t="str">
        <f>if(ISNUMBER($A46), VLOOKUP(AK46, mapping!$A$2:$B99,2,false),)</f>
        <v/>
      </c>
      <c r="BC46" s="10" t="str">
        <f t="shared" ref="BC46:BD46" si="53">if(ISNUMBER($A46), IF(AL46="Not Answered","-",AL46),)</f>
        <v/>
      </c>
      <c r="BD46" s="10" t="str">
        <f t="shared" si="53"/>
        <v/>
      </c>
    </row>
    <row r="47">
      <c r="AN47" s="5" t="str">
        <f t="shared" si="3"/>
        <v/>
      </c>
      <c r="AO47" s="5" t="str">
        <f t="shared" si="4"/>
        <v/>
      </c>
      <c r="AP47" s="5" t="str">
        <f>IFERROR(__xludf.DUMMYFUNCTION("if(ISNUMBER(A47),FILTER(O47:Z47,REGEXMATCH(O47:Z47, ""Not Answered"")=FALSE),)"),"")</f>
        <v/>
      </c>
      <c r="AQ47" s="5" t="str">
        <f>if(ISNUMBER($C47), VLOOKUP(AP47, konsulenter!$A$1:$B99,2,false),)</f>
        <v/>
      </c>
      <c r="AR47" s="10" t="str">
        <f>if(ISNUMBER($A47), VLOOKUP(AA47, mapping!$A$2:$B99,2,false),)</f>
        <v/>
      </c>
      <c r="AS47" s="10" t="str">
        <f t="shared" si="5"/>
        <v/>
      </c>
      <c r="AT47" s="10" t="str">
        <f>if(ISNUMBER($A47), VLOOKUP(AC47, mapping!$A$2:$B99,2,false),)</f>
        <v/>
      </c>
      <c r="AU47" s="10" t="str">
        <f t="shared" si="6"/>
        <v/>
      </c>
      <c r="AV47" s="10" t="str">
        <f>if(ISNUMBER($A47), VLOOKUP(AE47, mapping!$A$2:$B99,2,false),)</f>
        <v/>
      </c>
      <c r="AW47" s="10" t="str">
        <f t="shared" si="7"/>
        <v/>
      </c>
      <c r="AX47" s="10" t="str">
        <f>if(ISNUMBER($A47), VLOOKUP(AG47, mapping!$A$2:$B99,2,false),)</f>
        <v/>
      </c>
      <c r="AY47" s="10" t="str">
        <f t="shared" si="8"/>
        <v/>
      </c>
      <c r="AZ47" s="10" t="str">
        <f>if(ISNUMBER($A47), VLOOKUP(AI47, mapping!$A$2:$B99,2,false),)</f>
        <v/>
      </c>
      <c r="BA47" s="10" t="str">
        <f t="shared" si="9"/>
        <v/>
      </c>
      <c r="BB47" s="10" t="str">
        <f>if(ISNUMBER($A47), VLOOKUP(AK47, mapping!$A$2:$B99,2,false),)</f>
        <v/>
      </c>
      <c r="BC47" s="10" t="str">
        <f t="shared" ref="BC47:BD47" si="54">if(ISNUMBER($A47), IF(AL47="Not Answered","-",AL47),)</f>
        <v/>
      </c>
      <c r="BD47" s="10" t="str">
        <f t="shared" si="54"/>
        <v/>
      </c>
    </row>
    <row r="48">
      <c r="AN48" s="5" t="str">
        <f t="shared" si="3"/>
        <v/>
      </c>
      <c r="AO48" s="5" t="str">
        <f t="shared" si="4"/>
        <v/>
      </c>
      <c r="AP48" s="5" t="str">
        <f>IFERROR(__xludf.DUMMYFUNCTION("if(ISNUMBER(A48),FILTER(O48:Z48,REGEXMATCH(O48:Z48, ""Not Answered"")=FALSE),)"),"")</f>
        <v/>
      </c>
      <c r="AQ48" s="5" t="str">
        <f>if(ISNUMBER($C48), VLOOKUP(AP48, konsulenter!$A$1:$B99,2,false),)</f>
        <v/>
      </c>
      <c r="AR48" s="10" t="str">
        <f>if(ISNUMBER($A48), VLOOKUP(AA48, mapping!$A$2:$B99,2,false),)</f>
        <v/>
      </c>
      <c r="AS48" s="10" t="str">
        <f t="shared" si="5"/>
        <v/>
      </c>
      <c r="AT48" s="10" t="str">
        <f>if(ISNUMBER($A48), VLOOKUP(AC48, mapping!$A$2:$B99,2,false),)</f>
        <v/>
      </c>
      <c r="AU48" s="10" t="str">
        <f t="shared" si="6"/>
        <v/>
      </c>
      <c r="AV48" s="10" t="str">
        <f>if(ISNUMBER($A48), VLOOKUP(AE48, mapping!$A$2:$B99,2,false),)</f>
        <v/>
      </c>
      <c r="AW48" s="10" t="str">
        <f t="shared" si="7"/>
        <v/>
      </c>
      <c r="AX48" s="10" t="str">
        <f>if(ISNUMBER($A48), VLOOKUP(AG48, mapping!$A$2:$B99,2,false),)</f>
        <v/>
      </c>
      <c r="AY48" s="10" t="str">
        <f t="shared" si="8"/>
        <v/>
      </c>
      <c r="AZ48" s="10" t="str">
        <f>if(ISNUMBER($A48), VLOOKUP(AI48, mapping!$A$2:$B99,2,false),)</f>
        <v/>
      </c>
      <c r="BA48" s="10" t="str">
        <f t="shared" si="9"/>
        <v/>
      </c>
      <c r="BB48" s="10" t="str">
        <f>if(ISNUMBER($A48), VLOOKUP(AK48, mapping!$A$2:$B99,2,false),)</f>
        <v/>
      </c>
      <c r="BC48" s="10" t="str">
        <f t="shared" ref="BC48:BD48" si="55">if(ISNUMBER($A48), IF(AL48="Not Answered","-",AL48),)</f>
        <v/>
      </c>
      <c r="BD48" s="10" t="str">
        <f t="shared" si="55"/>
        <v/>
      </c>
    </row>
    <row r="49">
      <c r="AN49" s="5" t="str">
        <f t="shared" si="3"/>
        <v/>
      </c>
      <c r="AO49" s="5" t="str">
        <f t="shared" si="4"/>
        <v/>
      </c>
      <c r="AP49" s="5" t="str">
        <f>IFERROR(__xludf.DUMMYFUNCTION("if(ISNUMBER(A49),FILTER(O49:Z49,REGEXMATCH(O49:Z49, ""Not Answered"")=FALSE),)"),"")</f>
        <v/>
      </c>
      <c r="AQ49" s="5" t="str">
        <f>if(ISNUMBER($C49), VLOOKUP(AP49, konsulenter!$A$1:$B99,2,false),)</f>
        <v/>
      </c>
      <c r="AR49" s="10" t="str">
        <f>if(ISNUMBER($A49), VLOOKUP(AA49, mapping!$A$2:$B99,2,false),)</f>
        <v/>
      </c>
      <c r="AS49" s="10" t="str">
        <f t="shared" si="5"/>
        <v/>
      </c>
      <c r="AT49" s="10" t="str">
        <f>if(ISNUMBER($A49), VLOOKUP(AC49, mapping!$A$2:$B99,2,false),)</f>
        <v/>
      </c>
      <c r="AU49" s="10" t="str">
        <f t="shared" si="6"/>
        <v/>
      </c>
      <c r="AV49" s="10" t="str">
        <f>if(ISNUMBER($A49), VLOOKUP(AE49, mapping!$A$2:$B99,2,false),)</f>
        <v/>
      </c>
      <c r="AW49" s="10" t="str">
        <f t="shared" si="7"/>
        <v/>
      </c>
      <c r="AX49" s="10" t="str">
        <f>if(ISNUMBER($A49), VLOOKUP(AG49, mapping!$A$2:$B99,2,false),)</f>
        <v/>
      </c>
      <c r="AY49" s="10" t="str">
        <f t="shared" si="8"/>
        <v/>
      </c>
      <c r="AZ49" s="10" t="str">
        <f>if(ISNUMBER($A49), VLOOKUP(AI49, mapping!$A$2:$B99,2,false),)</f>
        <v/>
      </c>
      <c r="BA49" s="10" t="str">
        <f t="shared" si="9"/>
        <v/>
      </c>
      <c r="BB49" s="10" t="str">
        <f>if(ISNUMBER($A49), VLOOKUP(AK49, mapping!$A$2:$B99,2,false),)</f>
        <v/>
      </c>
      <c r="BC49" s="10" t="str">
        <f t="shared" ref="BC49:BD49" si="56">if(ISNUMBER($A49), IF(AL49="Not Answered","-",AL49),)</f>
        <v/>
      </c>
      <c r="BD49" s="10" t="str">
        <f t="shared" si="56"/>
        <v/>
      </c>
    </row>
    <row r="50">
      <c r="AN50" s="5" t="str">
        <f t="shared" si="3"/>
        <v/>
      </c>
      <c r="AO50" s="5" t="str">
        <f t="shared" si="4"/>
        <v/>
      </c>
      <c r="AP50" s="5" t="str">
        <f>IFERROR(__xludf.DUMMYFUNCTION("if(ISNUMBER(A50),FILTER(O50:Z50,REGEXMATCH(O50:Z50, ""Not Answered"")=FALSE),)"),"")</f>
        <v/>
      </c>
      <c r="AQ50" s="5" t="str">
        <f>if(ISNUMBER($C50), VLOOKUP(AP50, konsulenter!$A$1:$B99,2,false),)</f>
        <v/>
      </c>
      <c r="AR50" s="10" t="str">
        <f>if(ISNUMBER($A50), VLOOKUP(AA50, mapping!$A$2:$B99,2,false),)</f>
        <v/>
      </c>
      <c r="AS50" s="10" t="str">
        <f t="shared" si="5"/>
        <v/>
      </c>
      <c r="AT50" s="10" t="str">
        <f>if(ISNUMBER($A50), VLOOKUP(AC50, mapping!$A$2:$B99,2,false),)</f>
        <v/>
      </c>
      <c r="AU50" s="10" t="str">
        <f t="shared" si="6"/>
        <v/>
      </c>
      <c r="AV50" s="10" t="str">
        <f>if(ISNUMBER($A50), VLOOKUP(AE50, mapping!$A$2:$B99,2,false),)</f>
        <v/>
      </c>
      <c r="AW50" s="10" t="str">
        <f t="shared" si="7"/>
        <v/>
      </c>
      <c r="AX50" s="10" t="str">
        <f>if(ISNUMBER($A50), VLOOKUP(AG50, mapping!$A$2:$B99,2,false),)</f>
        <v/>
      </c>
      <c r="AY50" s="10" t="str">
        <f t="shared" si="8"/>
        <v/>
      </c>
      <c r="AZ50" s="10" t="str">
        <f>if(ISNUMBER($A50), VLOOKUP(AI50, mapping!$A$2:$B99,2,false),)</f>
        <v/>
      </c>
      <c r="BA50" s="10" t="str">
        <f t="shared" si="9"/>
        <v/>
      </c>
      <c r="BB50" s="10" t="str">
        <f>if(ISNUMBER($A50), VLOOKUP(AK50, mapping!$A$2:$B99,2,false),)</f>
        <v/>
      </c>
      <c r="BC50" s="10" t="str">
        <f t="shared" ref="BC50:BD50" si="57">if(ISNUMBER($A50), IF(AL50="Not Answered","-",AL50),)</f>
        <v/>
      </c>
      <c r="BD50" s="10" t="str">
        <f t="shared" si="57"/>
        <v/>
      </c>
    </row>
    <row r="51">
      <c r="AN51" s="5" t="str">
        <f t="shared" si="3"/>
        <v/>
      </c>
      <c r="AO51" s="5" t="str">
        <f t="shared" si="4"/>
        <v/>
      </c>
      <c r="AP51" s="5" t="str">
        <f>IFERROR(__xludf.DUMMYFUNCTION("if(ISNUMBER(A51),FILTER(O51:Z51,REGEXMATCH(O51:Z51, ""Not Answered"")=FALSE),)"),"")</f>
        <v/>
      </c>
      <c r="AQ51" s="5" t="str">
        <f>if(ISNUMBER($C51), VLOOKUP(AP51, konsulenter!$A$1:$B99,2,false),)</f>
        <v/>
      </c>
      <c r="AR51" s="10" t="str">
        <f>if(ISNUMBER($A51), VLOOKUP(AA51, mapping!$A$2:$B99,2,false),)</f>
        <v/>
      </c>
      <c r="AS51" s="10" t="str">
        <f t="shared" si="5"/>
        <v/>
      </c>
      <c r="AT51" s="10" t="str">
        <f>if(ISNUMBER($A51), VLOOKUP(AC51, mapping!$A$2:$B99,2,false),)</f>
        <v/>
      </c>
      <c r="AU51" s="10" t="str">
        <f t="shared" si="6"/>
        <v/>
      </c>
      <c r="AV51" s="10" t="str">
        <f>if(ISNUMBER($A51), VLOOKUP(AE51, mapping!$A$2:$B99,2,false),)</f>
        <v/>
      </c>
      <c r="AW51" s="10" t="str">
        <f t="shared" si="7"/>
        <v/>
      </c>
      <c r="AX51" s="10" t="str">
        <f>if(ISNUMBER($A51), VLOOKUP(AG51, mapping!$A$2:$B99,2,false),)</f>
        <v/>
      </c>
      <c r="AY51" s="10" t="str">
        <f t="shared" si="8"/>
        <v/>
      </c>
      <c r="AZ51" s="10" t="str">
        <f>if(ISNUMBER($A51), VLOOKUP(AI51, mapping!$A$2:$B99,2,false),)</f>
        <v/>
      </c>
      <c r="BA51" s="10" t="str">
        <f t="shared" si="9"/>
        <v/>
      </c>
      <c r="BB51" s="10" t="str">
        <f>if(ISNUMBER($A51), VLOOKUP(AK51, mapping!$A$2:$B99,2,false),)</f>
        <v/>
      </c>
      <c r="BC51" s="10" t="str">
        <f t="shared" ref="BC51:BD51" si="58">if(ISNUMBER($A51), IF(AL51="Not Answered","-",AL51),)</f>
        <v/>
      </c>
      <c r="BD51" s="10" t="str">
        <f t="shared" si="58"/>
        <v/>
      </c>
    </row>
    <row r="52">
      <c r="AN52" s="5" t="str">
        <f t="shared" si="3"/>
        <v/>
      </c>
      <c r="AO52" s="5" t="str">
        <f t="shared" si="4"/>
        <v/>
      </c>
      <c r="AP52" s="5" t="str">
        <f>IFERROR(__xludf.DUMMYFUNCTION("if(ISNUMBER(A52),FILTER(O52:Z52,REGEXMATCH(O52:Z52, ""Not Answered"")=FALSE),)"),"")</f>
        <v/>
      </c>
      <c r="AQ52" s="5" t="str">
        <f>if(ISNUMBER($C52), VLOOKUP(AP52, konsulenter!$A$1:$B99,2,false),)</f>
        <v/>
      </c>
      <c r="AR52" s="10" t="str">
        <f>if(ISNUMBER($A52), VLOOKUP(AA52, mapping!$A$2:$B99,2,false),)</f>
        <v/>
      </c>
      <c r="AS52" s="10" t="str">
        <f t="shared" si="5"/>
        <v/>
      </c>
      <c r="AT52" s="10" t="str">
        <f>if(ISNUMBER($A52), VLOOKUP(AC52, mapping!$A$2:$B99,2,false),)</f>
        <v/>
      </c>
      <c r="AU52" s="10" t="str">
        <f t="shared" si="6"/>
        <v/>
      </c>
      <c r="AV52" s="10" t="str">
        <f>if(ISNUMBER($A52), VLOOKUP(AE52, mapping!$A$2:$B99,2,false),)</f>
        <v/>
      </c>
      <c r="AW52" s="10" t="str">
        <f t="shared" si="7"/>
        <v/>
      </c>
      <c r="AX52" s="10" t="str">
        <f>if(ISNUMBER($A52), VLOOKUP(AG52, mapping!$A$2:$B99,2,false),)</f>
        <v/>
      </c>
      <c r="AY52" s="10" t="str">
        <f t="shared" si="8"/>
        <v/>
      </c>
      <c r="AZ52" s="10" t="str">
        <f>if(ISNUMBER($A52), VLOOKUP(AI52, mapping!$A$2:$B99,2,false),)</f>
        <v/>
      </c>
      <c r="BA52" s="10" t="str">
        <f t="shared" si="9"/>
        <v/>
      </c>
      <c r="BB52" s="10" t="str">
        <f>if(ISNUMBER($A52), VLOOKUP(AK52, mapping!$A$2:$B99,2,false),)</f>
        <v/>
      </c>
      <c r="BC52" s="10" t="str">
        <f t="shared" ref="BC52:BD52" si="59">if(ISNUMBER($A52), IF(AL52="Not Answered","-",AL52),)</f>
        <v/>
      </c>
      <c r="BD52" s="10" t="str">
        <f t="shared" si="59"/>
        <v/>
      </c>
    </row>
    <row r="53">
      <c r="AN53" s="5" t="str">
        <f t="shared" si="3"/>
        <v/>
      </c>
      <c r="AO53" s="5" t="str">
        <f t="shared" si="4"/>
        <v/>
      </c>
      <c r="AP53" s="5" t="str">
        <f>IFERROR(__xludf.DUMMYFUNCTION("if(ISNUMBER(A53),FILTER(O53:Z53,REGEXMATCH(O53:Z53, ""Not Answered"")=FALSE),)"),"")</f>
        <v/>
      </c>
      <c r="AQ53" s="5" t="str">
        <f>if(ISNUMBER($C53), VLOOKUP(AP53, konsulenter!$A$1:$B99,2,false),)</f>
        <v/>
      </c>
      <c r="AR53" s="10" t="str">
        <f>if(ISNUMBER($A53), VLOOKUP(AA53, mapping!$A$2:$B99,2,false),)</f>
        <v/>
      </c>
      <c r="AS53" s="10" t="str">
        <f t="shared" si="5"/>
        <v/>
      </c>
      <c r="AT53" s="10" t="str">
        <f>if(ISNUMBER($A53), VLOOKUP(AC53, mapping!$A$2:$B99,2,false),)</f>
        <v/>
      </c>
      <c r="AU53" s="10" t="str">
        <f t="shared" si="6"/>
        <v/>
      </c>
      <c r="AV53" s="10" t="str">
        <f>if(ISNUMBER($A53), VLOOKUP(AE53, mapping!$A$2:$B99,2,false),)</f>
        <v/>
      </c>
      <c r="AW53" s="10" t="str">
        <f t="shared" si="7"/>
        <v/>
      </c>
      <c r="AX53" s="10" t="str">
        <f>if(ISNUMBER($A53), VLOOKUP(AG53, mapping!$A$2:$B99,2,false),)</f>
        <v/>
      </c>
      <c r="AY53" s="10" t="str">
        <f t="shared" si="8"/>
        <v/>
      </c>
      <c r="AZ53" s="10" t="str">
        <f>if(ISNUMBER($A53), VLOOKUP(AI53, mapping!$A$2:$B99,2,false),)</f>
        <v/>
      </c>
      <c r="BA53" s="10" t="str">
        <f t="shared" si="9"/>
        <v/>
      </c>
      <c r="BB53" s="10" t="str">
        <f>if(ISNUMBER($A53), VLOOKUP(AK53, mapping!$A$2:$B99,2,false),)</f>
        <v/>
      </c>
      <c r="BC53" s="10" t="str">
        <f t="shared" ref="BC53:BD53" si="60">if(ISNUMBER($A53), IF(AL53="Not Answered","-",AL53),)</f>
        <v/>
      </c>
      <c r="BD53" s="10" t="str">
        <f t="shared" si="60"/>
        <v/>
      </c>
    </row>
    <row r="54">
      <c r="AN54" s="5" t="str">
        <f t="shared" si="3"/>
        <v/>
      </c>
      <c r="AO54" s="5" t="str">
        <f t="shared" si="4"/>
        <v/>
      </c>
      <c r="AP54" s="5" t="str">
        <f>IFERROR(__xludf.DUMMYFUNCTION("if(ISNUMBER(A54),FILTER(O54:Z54,REGEXMATCH(O54:Z54, ""Not Answered"")=FALSE),)"),"")</f>
        <v/>
      </c>
      <c r="AQ54" s="5" t="str">
        <f>if(ISNUMBER($C54), VLOOKUP(AP54, konsulenter!$A$1:$B99,2,false),)</f>
        <v/>
      </c>
      <c r="AR54" s="10" t="str">
        <f>if(ISNUMBER($A54), VLOOKUP(AA54, mapping!$A$2:$B99,2,false),)</f>
        <v/>
      </c>
      <c r="AS54" s="10" t="str">
        <f t="shared" si="5"/>
        <v/>
      </c>
      <c r="AT54" s="10" t="str">
        <f>if(ISNUMBER($A54), VLOOKUP(AC54, mapping!$A$2:$B99,2,false),)</f>
        <v/>
      </c>
      <c r="AU54" s="10" t="str">
        <f t="shared" si="6"/>
        <v/>
      </c>
      <c r="AV54" s="10" t="str">
        <f>if(ISNUMBER($A54), VLOOKUP(AE54, mapping!$A$2:$B99,2,false),)</f>
        <v/>
      </c>
      <c r="AW54" s="10" t="str">
        <f t="shared" si="7"/>
        <v/>
      </c>
      <c r="AX54" s="10" t="str">
        <f>if(ISNUMBER($A54), VLOOKUP(AG54, mapping!$A$2:$B99,2,false),)</f>
        <v/>
      </c>
      <c r="AY54" s="10" t="str">
        <f t="shared" si="8"/>
        <v/>
      </c>
      <c r="AZ54" s="10" t="str">
        <f>if(ISNUMBER($A54), VLOOKUP(AI54, mapping!$A$2:$B99,2,false),)</f>
        <v/>
      </c>
      <c r="BA54" s="10" t="str">
        <f t="shared" si="9"/>
        <v/>
      </c>
      <c r="BB54" s="10" t="str">
        <f>if(ISNUMBER($A54), VLOOKUP(AK54, mapping!$A$2:$B99,2,false),)</f>
        <v/>
      </c>
      <c r="BC54" s="10" t="str">
        <f t="shared" ref="BC54:BD54" si="61">if(ISNUMBER($A54), IF(AL54="Not Answered","-",AL54),)</f>
        <v/>
      </c>
      <c r="BD54" s="10" t="str">
        <f t="shared" si="61"/>
        <v/>
      </c>
    </row>
    <row r="55">
      <c r="AN55" s="5" t="str">
        <f t="shared" si="3"/>
        <v/>
      </c>
      <c r="AO55" s="5" t="str">
        <f t="shared" si="4"/>
        <v/>
      </c>
      <c r="AP55" s="5" t="str">
        <f>IFERROR(__xludf.DUMMYFUNCTION("if(ISNUMBER(A55),FILTER(O55:Z55,REGEXMATCH(O55:Z55, ""Not Answered"")=FALSE),)"),"")</f>
        <v/>
      </c>
      <c r="AQ55" s="5" t="str">
        <f>if(ISNUMBER($C55), VLOOKUP(AP55, konsulenter!$A$1:$B99,2,false),)</f>
        <v/>
      </c>
      <c r="AR55" s="10" t="str">
        <f>if(ISNUMBER($A55), VLOOKUP(AA55, mapping!$A$2:$B99,2,false),)</f>
        <v/>
      </c>
      <c r="AS55" s="10" t="str">
        <f t="shared" si="5"/>
        <v/>
      </c>
      <c r="AT55" s="10" t="str">
        <f>if(ISNUMBER($A55), VLOOKUP(AC55, mapping!$A$2:$B99,2,false),)</f>
        <v/>
      </c>
      <c r="AU55" s="10" t="str">
        <f t="shared" si="6"/>
        <v/>
      </c>
      <c r="AV55" s="10" t="str">
        <f>if(ISNUMBER($A55), VLOOKUP(AE55, mapping!$A$2:$B99,2,false),)</f>
        <v/>
      </c>
      <c r="AW55" s="10" t="str">
        <f t="shared" si="7"/>
        <v/>
      </c>
      <c r="AX55" s="10" t="str">
        <f>if(ISNUMBER($A55), VLOOKUP(AG55, mapping!$A$2:$B99,2,false),)</f>
        <v/>
      </c>
      <c r="AY55" s="10" t="str">
        <f t="shared" si="8"/>
        <v/>
      </c>
      <c r="AZ55" s="10" t="str">
        <f>if(ISNUMBER($A55), VLOOKUP(AI55, mapping!$A$2:$B99,2,false),)</f>
        <v/>
      </c>
      <c r="BA55" s="10" t="str">
        <f t="shared" si="9"/>
        <v/>
      </c>
      <c r="BB55" s="10" t="str">
        <f>if(ISNUMBER($A55), VLOOKUP(AK55, mapping!$A$2:$B99,2,false),)</f>
        <v/>
      </c>
      <c r="BC55" s="10" t="str">
        <f t="shared" ref="BC55:BD55" si="62">if(ISNUMBER($A55), IF(AL55="Not Answered","-",AL55),)</f>
        <v/>
      </c>
      <c r="BD55" s="10" t="str">
        <f t="shared" si="62"/>
        <v/>
      </c>
    </row>
    <row r="56">
      <c r="AN56" s="5" t="str">
        <f t="shared" si="3"/>
        <v/>
      </c>
      <c r="AO56" s="5" t="str">
        <f t="shared" si="4"/>
        <v/>
      </c>
      <c r="AP56" s="5" t="str">
        <f>IFERROR(__xludf.DUMMYFUNCTION("if(ISNUMBER(A56),FILTER(O56:Z56,REGEXMATCH(O56:Z56, ""Not Answered"")=FALSE),)"),"")</f>
        <v/>
      </c>
      <c r="AQ56" s="5" t="str">
        <f>if(ISNUMBER($C56), VLOOKUP(AP56, konsulenter!$A$1:$B99,2,false),)</f>
        <v/>
      </c>
      <c r="AR56" s="10" t="str">
        <f>if(ISNUMBER($A56), VLOOKUP(AA56, mapping!$A$2:$B99,2,false),)</f>
        <v/>
      </c>
      <c r="AS56" s="10" t="str">
        <f t="shared" si="5"/>
        <v/>
      </c>
      <c r="AT56" s="10" t="str">
        <f>if(ISNUMBER($A56), VLOOKUP(AC56, mapping!$A$2:$B99,2,false),)</f>
        <v/>
      </c>
      <c r="AU56" s="10" t="str">
        <f t="shared" si="6"/>
        <v/>
      </c>
      <c r="AV56" s="10" t="str">
        <f>if(ISNUMBER($A56), VLOOKUP(AE56, mapping!$A$2:$B99,2,false),)</f>
        <v/>
      </c>
      <c r="AW56" s="10" t="str">
        <f t="shared" si="7"/>
        <v/>
      </c>
      <c r="AX56" s="10" t="str">
        <f>if(ISNUMBER($A56), VLOOKUP(AG56, mapping!$A$2:$B99,2,false),)</f>
        <v/>
      </c>
      <c r="AY56" s="10" t="str">
        <f t="shared" si="8"/>
        <v/>
      </c>
      <c r="AZ56" s="10" t="str">
        <f>if(ISNUMBER($A56), VLOOKUP(AI56, mapping!$A$2:$B99,2,false),)</f>
        <v/>
      </c>
      <c r="BA56" s="10" t="str">
        <f t="shared" si="9"/>
        <v/>
      </c>
      <c r="BB56" s="10" t="str">
        <f>if(ISNUMBER($A56), VLOOKUP(AK56, mapping!$A$2:$B99,2,false),)</f>
        <v/>
      </c>
      <c r="BC56" s="10" t="str">
        <f t="shared" ref="BC56:BD56" si="63">if(ISNUMBER($A56), IF(AL56="Not Answered","-",AL56),)</f>
        <v/>
      </c>
      <c r="BD56" s="10" t="str">
        <f t="shared" si="63"/>
        <v/>
      </c>
    </row>
    <row r="57">
      <c r="AN57" s="5" t="str">
        <f t="shared" si="3"/>
        <v/>
      </c>
      <c r="AO57" s="5" t="str">
        <f t="shared" si="4"/>
        <v/>
      </c>
      <c r="AP57" s="5" t="str">
        <f>IFERROR(__xludf.DUMMYFUNCTION("if(ISNUMBER(A57),FILTER(O57:Z57,REGEXMATCH(O57:Z57, ""Not Answered"")=FALSE),)"),"")</f>
        <v/>
      </c>
      <c r="AQ57" s="5" t="str">
        <f>if(ISNUMBER($C57), VLOOKUP(AP57, konsulenter!$A$1:$B99,2,false),)</f>
        <v/>
      </c>
      <c r="AR57" s="10" t="str">
        <f>if(ISNUMBER($A57), VLOOKUP(AA57, mapping!$A$2:$B99,2,false),)</f>
        <v/>
      </c>
      <c r="AS57" s="10" t="str">
        <f t="shared" si="5"/>
        <v/>
      </c>
      <c r="AT57" s="10" t="str">
        <f>if(ISNUMBER($A57), VLOOKUP(AC57, mapping!$A$2:$B99,2,false),)</f>
        <v/>
      </c>
      <c r="AU57" s="10" t="str">
        <f t="shared" si="6"/>
        <v/>
      </c>
      <c r="AV57" s="10" t="str">
        <f>if(ISNUMBER($A57), VLOOKUP(AE57, mapping!$A$2:$B99,2,false),)</f>
        <v/>
      </c>
      <c r="AW57" s="10" t="str">
        <f t="shared" si="7"/>
        <v/>
      </c>
      <c r="AX57" s="10" t="str">
        <f>if(ISNUMBER($A57), VLOOKUP(AG57, mapping!$A$2:$B99,2,false),)</f>
        <v/>
      </c>
      <c r="AY57" s="10" t="str">
        <f t="shared" si="8"/>
        <v/>
      </c>
      <c r="AZ57" s="10" t="str">
        <f>if(ISNUMBER($A57), VLOOKUP(AI57, mapping!$A$2:$B99,2,false),)</f>
        <v/>
      </c>
      <c r="BA57" s="10" t="str">
        <f t="shared" si="9"/>
        <v/>
      </c>
      <c r="BB57" s="10" t="str">
        <f>if(ISNUMBER($A57), VLOOKUP(AK57, mapping!$A$2:$B99,2,false),)</f>
        <v/>
      </c>
      <c r="BC57" s="10" t="str">
        <f t="shared" ref="BC57:BD57" si="64">if(ISNUMBER($A57), IF(AL57="Not Answered","-",AL57),)</f>
        <v/>
      </c>
      <c r="BD57" s="10" t="str">
        <f t="shared" si="64"/>
        <v/>
      </c>
    </row>
    <row r="58">
      <c r="AN58" s="5" t="str">
        <f t="shared" si="3"/>
        <v/>
      </c>
      <c r="AO58" s="5" t="str">
        <f t="shared" si="4"/>
        <v/>
      </c>
      <c r="AP58" s="5" t="str">
        <f>IFERROR(__xludf.DUMMYFUNCTION("if(ISNUMBER(A58),FILTER(O58:Z58,REGEXMATCH(O58:Z58, ""Not Answered"")=FALSE),)"),"")</f>
        <v/>
      </c>
      <c r="AQ58" s="5" t="str">
        <f>if(ISNUMBER($C58), VLOOKUP(AP58, konsulenter!$A$1:$B99,2,false),)</f>
        <v/>
      </c>
      <c r="AR58" s="10" t="str">
        <f>if(ISNUMBER($A58), VLOOKUP(AA58, mapping!$A$2:$B99,2,false),)</f>
        <v/>
      </c>
      <c r="AS58" s="10" t="str">
        <f t="shared" si="5"/>
        <v/>
      </c>
      <c r="AT58" s="10" t="str">
        <f>if(ISNUMBER($A58), VLOOKUP(AC58, mapping!$A$2:$B99,2,false),)</f>
        <v/>
      </c>
      <c r="AU58" s="10" t="str">
        <f t="shared" si="6"/>
        <v/>
      </c>
      <c r="AV58" s="10" t="str">
        <f>if(ISNUMBER($A58), VLOOKUP(AE58, mapping!$A$2:$B99,2,false),)</f>
        <v/>
      </c>
      <c r="AW58" s="10" t="str">
        <f t="shared" si="7"/>
        <v/>
      </c>
      <c r="AX58" s="10" t="str">
        <f>if(ISNUMBER($A58), VLOOKUP(AG58, mapping!$A$2:$B99,2,false),)</f>
        <v/>
      </c>
      <c r="AY58" s="10" t="str">
        <f t="shared" si="8"/>
        <v/>
      </c>
      <c r="AZ58" s="10" t="str">
        <f>if(ISNUMBER($A58), VLOOKUP(AI58, mapping!$A$2:$B99,2,false),)</f>
        <v/>
      </c>
      <c r="BA58" s="10" t="str">
        <f t="shared" si="9"/>
        <v/>
      </c>
      <c r="BB58" s="10" t="str">
        <f>if(ISNUMBER($A58), VLOOKUP(AK58, mapping!$A$2:$B99,2,false),)</f>
        <v/>
      </c>
      <c r="BC58" s="10" t="str">
        <f t="shared" ref="BC58:BD58" si="65">if(ISNUMBER($A58), IF(AL58="Not Answered","-",AL58),)</f>
        <v/>
      </c>
      <c r="BD58" s="10" t="str">
        <f t="shared" si="65"/>
        <v/>
      </c>
    </row>
    <row r="59">
      <c r="AN59" s="5" t="str">
        <f t="shared" si="3"/>
        <v/>
      </c>
      <c r="AO59" s="5" t="str">
        <f t="shared" si="4"/>
        <v/>
      </c>
      <c r="AP59" s="5" t="str">
        <f>IFERROR(__xludf.DUMMYFUNCTION("if(ISNUMBER(A59),FILTER(O59:Z59,REGEXMATCH(O59:Z59, ""Not Answered"")=FALSE),)"),"")</f>
        <v/>
      </c>
      <c r="AQ59" s="5" t="str">
        <f>if(ISNUMBER($C59), VLOOKUP(AP59, konsulenter!$A$1:$B99,2,false),)</f>
        <v/>
      </c>
      <c r="AR59" s="10" t="str">
        <f>if(ISNUMBER($A59), VLOOKUP(AA59, mapping!$A$2:$B99,2,false),)</f>
        <v/>
      </c>
      <c r="AS59" s="10" t="str">
        <f t="shared" si="5"/>
        <v/>
      </c>
      <c r="AT59" s="10" t="str">
        <f>if(ISNUMBER($A59), VLOOKUP(AC59, mapping!$A$2:$B99,2,false),)</f>
        <v/>
      </c>
      <c r="AU59" s="10" t="str">
        <f t="shared" si="6"/>
        <v/>
      </c>
      <c r="AV59" s="10" t="str">
        <f>if(ISNUMBER($A59), VLOOKUP(AE59, mapping!$A$2:$B99,2,false),)</f>
        <v/>
      </c>
      <c r="AW59" s="10" t="str">
        <f t="shared" si="7"/>
        <v/>
      </c>
      <c r="AX59" s="10" t="str">
        <f>if(ISNUMBER($A59), VLOOKUP(AG59, mapping!$A$2:$B99,2,false),)</f>
        <v/>
      </c>
      <c r="AY59" s="10" t="str">
        <f t="shared" si="8"/>
        <v/>
      </c>
      <c r="AZ59" s="10" t="str">
        <f>if(ISNUMBER($A59), VLOOKUP(AI59, mapping!$A$2:$B99,2,false),)</f>
        <v/>
      </c>
      <c r="BA59" s="10" t="str">
        <f t="shared" si="9"/>
        <v/>
      </c>
      <c r="BB59" s="10" t="str">
        <f>if(ISNUMBER($A59), VLOOKUP(AK59, mapping!$A$2:$B99,2,false),)</f>
        <v/>
      </c>
      <c r="BC59" s="10" t="str">
        <f t="shared" ref="BC59:BD59" si="66">if(ISNUMBER($A59), IF(AL59="Not Answered","-",AL59),)</f>
        <v/>
      </c>
      <c r="BD59" s="10" t="str">
        <f t="shared" si="66"/>
        <v/>
      </c>
    </row>
    <row r="60">
      <c r="AN60" s="5" t="str">
        <f t="shared" si="3"/>
        <v/>
      </c>
      <c r="AO60" s="5" t="str">
        <f t="shared" si="4"/>
        <v/>
      </c>
      <c r="AP60" s="5" t="str">
        <f>IFERROR(__xludf.DUMMYFUNCTION("if(ISNUMBER(A60),FILTER(O60:Z60,REGEXMATCH(O60:Z60, ""Not Answered"")=FALSE),)"),"")</f>
        <v/>
      </c>
      <c r="AQ60" s="5" t="str">
        <f>if(ISNUMBER($C60), VLOOKUP(AP60, konsulenter!$A$1:$B99,2,false),)</f>
        <v/>
      </c>
      <c r="AR60" s="10" t="str">
        <f>if(ISNUMBER($A60), VLOOKUP(AA60, mapping!$A$2:$B99,2,false),)</f>
        <v/>
      </c>
      <c r="AS60" s="10" t="str">
        <f t="shared" si="5"/>
        <v/>
      </c>
      <c r="AT60" s="10" t="str">
        <f>if(ISNUMBER($A60), VLOOKUP(AC60, mapping!$A$2:$B99,2,false),)</f>
        <v/>
      </c>
      <c r="AU60" s="10" t="str">
        <f t="shared" si="6"/>
        <v/>
      </c>
      <c r="AV60" s="10" t="str">
        <f>if(ISNUMBER($A60), VLOOKUP(AE60, mapping!$A$2:$B99,2,false),)</f>
        <v/>
      </c>
      <c r="AW60" s="10" t="str">
        <f t="shared" si="7"/>
        <v/>
      </c>
      <c r="AX60" s="10" t="str">
        <f>if(ISNUMBER($A60), VLOOKUP(AG60, mapping!$A$2:$B99,2,false),)</f>
        <v/>
      </c>
      <c r="AY60" s="10" t="str">
        <f t="shared" si="8"/>
        <v/>
      </c>
      <c r="AZ60" s="10" t="str">
        <f>if(ISNUMBER($A60), VLOOKUP(AI60, mapping!$A$2:$B99,2,false),)</f>
        <v/>
      </c>
      <c r="BA60" s="10" t="str">
        <f t="shared" si="9"/>
        <v/>
      </c>
      <c r="BB60" s="10" t="str">
        <f>if(ISNUMBER($A60), VLOOKUP(AK60, mapping!$A$2:$B99,2,false),)</f>
        <v/>
      </c>
      <c r="BC60" s="10" t="str">
        <f t="shared" ref="BC60:BD60" si="67">if(ISNUMBER($A60), IF(AL60="Not Answered","-",AL60),)</f>
        <v/>
      </c>
      <c r="BD60" s="10" t="str">
        <f t="shared" si="67"/>
        <v/>
      </c>
    </row>
    <row r="61">
      <c r="AN61" s="5" t="str">
        <f t="shared" si="3"/>
        <v/>
      </c>
      <c r="AO61" s="5" t="str">
        <f t="shared" si="4"/>
        <v/>
      </c>
      <c r="AP61" s="5" t="str">
        <f>IFERROR(__xludf.DUMMYFUNCTION("if(ISNUMBER(A61),FILTER(O61:Z61,REGEXMATCH(O61:Z61, ""Not Answered"")=FALSE),)"),"")</f>
        <v/>
      </c>
      <c r="AQ61" s="5" t="str">
        <f>if(ISNUMBER($C61), VLOOKUP(AP61, konsulenter!$A$1:$B99,2,false),)</f>
        <v/>
      </c>
      <c r="AR61" s="10" t="str">
        <f>if(ISNUMBER($A61), VLOOKUP(AA61, mapping!$A$2:$B99,2,false),)</f>
        <v/>
      </c>
      <c r="AS61" s="10" t="str">
        <f t="shared" si="5"/>
        <v/>
      </c>
      <c r="AT61" s="10" t="str">
        <f>if(ISNUMBER($A61), VLOOKUP(AC61, mapping!$A$2:$B99,2,false),)</f>
        <v/>
      </c>
      <c r="AU61" s="10" t="str">
        <f t="shared" si="6"/>
        <v/>
      </c>
      <c r="AV61" s="10" t="str">
        <f>if(ISNUMBER($A61), VLOOKUP(AE61, mapping!$A$2:$B99,2,false),)</f>
        <v/>
      </c>
      <c r="AW61" s="10" t="str">
        <f t="shared" si="7"/>
        <v/>
      </c>
      <c r="AX61" s="10" t="str">
        <f>if(ISNUMBER($A61), VLOOKUP(AG61, mapping!$A$2:$B99,2,false),)</f>
        <v/>
      </c>
      <c r="AY61" s="10" t="str">
        <f t="shared" si="8"/>
        <v/>
      </c>
      <c r="AZ61" s="10" t="str">
        <f>if(ISNUMBER($A61), VLOOKUP(AI61, mapping!$A$2:$B99,2,false),)</f>
        <v/>
      </c>
      <c r="BA61" s="10" t="str">
        <f t="shared" si="9"/>
        <v/>
      </c>
      <c r="BB61" s="10" t="str">
        <f>if(ISNUMBER($A61), VLOOKUP(AK61, mapping!$A$2:$B99,2,false),)</f>
        <v/>
      </c>
      <c r="BC61" s="10" t="str">
        <f t="shared" ref="BC61:BD61" si="68">if(ISNUMBER($A61), IF(AL61="Not Answered","-",AL61),)</f>
        <v/>
      </c>
      <c r="BD61" s="10" t="str">
        <f t="shared" si="68"/>
        <v/>
      </c>
    </row>
    <row r="62">
      <c r="AN62" s="5" t="str">
        <f t="shared" si="3"/>
        <v/>
      </c>
      <c r="AO62" s="5" t="str">
        <f t="shared" si="4"/>
        <v/>
      </c>
      <c r="AP62" s="5" t="str">
        <f>IFERROR(__xludf.DUMMYFUNCTION("if(ISNUMBER(A62),FILTER(O62:Z62,REGEXMATCH(O62:Z62, ""Not Answered"")=FALSE),)"),"")</f>
        <v/>
      </c>
      <c r="AQ62" s="5" t="str">
        <f>if(ISNUMBER($C62), VLOOKUP(AP62, konsulenter!$A$1:$B99,2,false),)</f>
        <v/>
      </c>
      <c r="AR62" s="10" t="str">
        <f>if(ISNUMBER($A62), VLOOKUP(AA62, mapping!$A$2:$B99,2,false),)</f>
        <v/>
      </c>
      <c r="AS62" s="10" t="str">
        <f t="shared" si="5"/>
        <v/>
      </c>
      <c r="AT62" s="10" t="str">
        <f>if(ISNUMBER($A62), VLOOKUP(AC62, mapping!$A$2:$B99,2,false),)</f>
        <v/>
      </c>
      <c r="AU62" s="10" t="str">
        <f t="shared" si="6"/>
        <v/>
      </c>
      <c r="AV62" s="10" t="str">
        <f>if(ISNUMBER($A62), VLOOKUP(AE62, mapping!$A$2:$B99,2,false),)</f>
        <v/>
      </c>
      <c r="AW62" s="10" t="str">
        <f t="shared" si="7"/>
        <v/>
      </c>
      <c r="AX62" s="10" t="str">
        <f>if(ISNUMBER($A62), VLOOKUP(AG62, mapping!$A$2:$B99,2,false),)</f>
        <v/>
      </c>
      <c r="AY62" s="10" t="str">
        <f t="shared" si="8"/>
        <v/>
      </c>
      <c r="AZ62" s="10" t="str">
        <f>if(ISNUMBER($A62), VLOOKUP(AI62, mapping!$A$2:$B99,2,false),)</f>
        <v/>
      </c>
      <c r="BA62" s="10" t="str">
        <f t="shared" si="9"/>
        <v/>
      </c>
      <c r="BB62" s="10" t="str">
        <f>if(ISNUMBER($A62), VLOOKUP(AK62, mapping!$A$2:$B99,2,false),)</f>
        <v/>
      </c>
      <c r="BC62" s="10" t="str">
        <f t="shared" ref="BC62:BD62" si="69">if(ISNUMBER($A62), IF(AL62="Not Answered","-",AL62),)</f>
        <v/>
      </c>
      <c r="BD62" s="10" t="str">
        <f t="shared" si="69"/>
        <v/>
      </c>
    </row>
    <row r="63">
      <c r="AN63" s="5" t="str">
        <f t="shared" si="3"/>
        <v/>
      </c>
      <c r="AO63" s="5" t="str">
        <f t="shared" si="4"/>
        <v/>
      </c>
      <c r="AP63" s="5" t="str">
        <f>IFERROR(__xludf.DUMMYFUNCTION("if(ISNUMBER(A63),FILTER(O63:Z63,REGEXMATCH(O63:Z63, ""Not Answered"")=FALSE),)"),"")</f>
        <v/>
      </c>
      <c r="AQ63" s="5" t="str">
        <f>if(ISNUMBER($C63), VLOOKUP(AP63, konsulenter!$A$1:$B99,2,false),)</f>
        <v/>
      </c>
      <c r="AR63" s="10" t="str">
        <f>if(ISNUMBER($A63), VLOOKUP(AA63, mapping!$A$2:$B99,2,false),)</f>
        <v/>
      </c>
      <c r="AS63" s="10" t="str">
        <f t="shared" si="5"/>
        <v/>
      </c>
      <c r="AT63" s="10" t="str">
        <f>if(ISNUMBER($A63), VLOOKUP(AC63, mapping!$A$2:$B99,2,false),)</f>
        <v/>
      </c>
      <c r="AU63" s="10" t="str">
        <f t="shared" si="6"/>
        <v/>
      </c>
      <c r="AV63" s="10" t="str">
        <f>if(ISNUMBER($A63), VLOOKUP(AE63, mapping!$A$2:$B99,2,false),)</f>
        <v/>
      </c>
      <c r="AW63" s="10" t="str">
        <f t="shared" si="7"/>
        <v/>
      </c>
      <c r="AX63" s="10" t="str">
        <f>if(ISNUMBER($A63), VLOOKUP(AG63, mapping!$A$2:$B99,2,false),)</f>
        <v/>
      </c>
      <c r="AY63" s="10" t="str">
        <f t="shared" si="8"/>
        <v/>
      </c>
      <c r="AZ63" s="10" t="str">
        <f>if(ISNUMBER($A63), VLOOKUP(AI63, mapping!$A$2:$B99,2,false),)</f>
        <v/>
      </c>
      <c r="BA63" s="10" t="str">
        <f t="shared" si="9"/>
        <v/>
      </c>
      <c r="BB63" s="10" t="str">
        <f>if(ISNUMBER($A63), VLOOKUP(AK63, mapping!$A$2:$B99,2,false),)</f>
        <v/>
      </c>
      <c r="BC63" s="10" t="str">
        <f t="shared" ref="BC63:BD63" si="70">if(ISNUMBER($A63), IF(AL63="Not Answered","-",AL63),)</f>
        <v/>
      </c>
      <c r="BD63" s="10" t="str">
        <f t="shared" si="70"/>
        <v/>
      </c>
    </row>
    <row r="64">
      <c r="AN64" s="5" t="str">
        <f t="shared" si="3"/>
        <v/>
      </c>
      <c r="AO64" s="5" t="str">
        <f t="shared" si="4"/>
        <v/>
      </c>
      <c r="AP64" s="5" t="str">
        <f>IFERROR(__xludf.DUMMYFUNCTION("if(ISNUMBER(A64),FILTER(O64:Z64,REGEXMATCH(O64:Z64, ""Not Answered"")=FALSE),)"),"")</f>
        <v/>
      </c>
      <c r="AQ64" s="5" t="str">
        <f>if(ISNUMBER($C64), VLOOKUP(AP64, konsulenter!$A$1:$B99,2,false),)</f>
        <v/>
      </c>
      <c r="AR64" s="10" t="str">
        <f>if(ISNUMBER($A64), VLOOKUP(AA64, mapping!$A$2:$B99,2,false),)</f>
        <v/>
      </c>
      <c r="AS64" s="10" t="str">
        <f t="shared" si="5"/>
        <v/>
      </c>
      <c r="AT64" s="10" t="str">
        <f>if(ISNUMBER($A64), VLOOKUP(AC64, mapping!$A$2:$B99,2,false),)</f>
        <v/>
      </c>
      <c r="AU64" s="10" t="str">
        <f t="shared" si="6"/>
        <v/>
      </c>
      <c r="AV64" s="10" t="str">
        <f>if(ISNUMBER($A64), VLOOKUP(AE64, mapping!$A$2:$B99,2,false),)</f>
        <v/>
      </c>
      <c r="AW64" s="10" t="str">
        <f t="shared" si="7"/>
        <v/>
      </c>
      <c r="AX64" s="10" t="str">
        <f>if(ISNUMBER($A64), VLOOKUP(AG64, mapping!$A$2:$B99,2,false),)</f>
        <v/>
      </c>
      <c r="AY64" s="10" t="str">
        <f t="shared" si="8"/>
        <v/>
      </c>
      <c r="AZ64" s="10" t="str">
        <f>if(ISNUMBER($A64), VLOOKUP(AI64, mapping!$A$2:$B99,2,false),)</f>
        <v/>
      </c>
      <c r="BA64" s="10" t="str">
        <f t="shared" si="9"/>
        <v/>
      </c>
      <c r="BB64" s="10" t="str">
        <f>if(ISNUMBER($A64), VLOOKUP(AK64, mapping!$A$2:$B99,2,false),)</f>
        <v/>
      </c>
      <c r="BC64" s="10" t="str">
        <f t="shared" ref="BC64:BD64" si="71">if(ISNUMBER($A64), IF(AL64="Not Answered","-",AL64),)</f>
        <v/>
      </c>
      <c r="BD64" s="10" t="str">
        <f t="shared" si="71"/>
        <v/>
      </c>
    </row>
    <row r="65">
      <c r="AN65" s="5" t="str">
        <f t="shared" si="3"/>
        <v/>
      </c>
      <c r="AO65" s="5" t="str">
        <f t="shared" si="4"/>
        <v/>
      </c>
      <c r="AP65" s="5" t="str">
        <f>IFERROR(__xludf.DUMMYFUNCTION("if(ISNUMBER(A65),FILTER(O65:Z65,REGEXMATCH(O65:Z65, ""Not Answered"")=FALSE),)"),"")</f>
        <v/>
      </c>
      <c r="AQ65" s="5" t="str">
        <f>if(ISNUMBER($C65), VLOOKUP(AP65, konsulenter!$A$1:$B99,2,false),)</f>
        <v/>
      </c>
      <c r="AR65" s="10" t="str">
        <f>if(ISNUMBER($A65), VLOOKUP(AA65, mapping!$A$2:$B99,2,false),)</f>
        <v/>
      </c>
      <c r="AS65" s="10" t="str">
        <f t="shared" si="5"/>
        <v/>
      </c>
      <c r="AT65" s="10" t="str">
        <f>if(ISNUMBER($A65), VLOOKUP(AC65, mapping!$A$2:$B99,2,false),)</f>
        <v/>
      </c>
      <c r="AU65" s="10" t="str">
        <f t="shared" si="6"/>
        <v/>
      </c>
      <c r="AV65" s="10" t="str">
        <f>if(ISNUMBER($A65), VLOOKUP(AE65, mapping!$A$2:$B99,2,false),)</f>
        <v/>
      </c>
      <c r="AW65" s="10" t="str">
        <f t="shared" si="7"/>
        <v/>
      </c>
      <c r="AX65" s="10" t="str">
        <f>if(ISNUMBER($A65), VLOOKUP(AG65, mapping!$A$2:$B99,2,false),)</f>
        <v/>
      </c>
      <c r="AY65" s="10" t="str">
        <f t="shared" si="8"/>
        <v/>
      </c>
      <c r="AZ65" s="10" t="str">
        <f>if(ISNUMBER($A65), VLOOKUP(AI65, mapping!$A$2:$B99,2,false),)</f>
        <v/>
      </c>
      <c r="BA65" s="10" t="str">
        <f t="shared" si="9"/>
        <v/>
      </c>
      <c r="BB65" s="10" t="str">
        <f>if(ISNUMBER($A65), VLOOKUP(AK65, mapping!$A$2:$B99,2,false),)</f>
        <v/>
      </c>
      <c r="BC65" s="10" t="str">
        <f t="shared" ref="BC65:BD65" si="72">if(ISNUMBER($A65), IF(AL65="Not Answered","-",AL65),)</f>
        <v/>
      </c>
      <c r="BD65" s="10" t="str">
        <f t="shared" si="72"/>
        <v/>
      </c>
    </row>
    <row r="66">
      <c r="AN66" s="5" t="str">
        <f t="shared" si="3"/>
        <v/>
      </c>
      <c r="AO66" s="5" t="str">
        <f t="shared" si="4"/>
        <v/>
      </c>
      <c r="AP66" s="5" t="str">
        <f>IFERROR(__xludf.DUMMYFUNCTION("if(ISNUMBER(A66),FILTER(O66:Z66,REGEXMATCH(O66:Z66, ""Not Answered"")=FALSE),)"),"")</f>
        <v/>
      </c>
      <c r="AQ66" s="5" t="str">
        <f>if(ISNUMBER($C66), VLOOKUP(AP66, konsulenter!$A$1:$B99,2,false),)</f>
        <v/>
      </c>
      <c r="AR66" s="10" t="str">
        <f>if(ISNUMBER($A66), VLOOKUP(AA66, mapping!$A$2:$B99,2,false),)</f>
        <v/>
      </c>
      <c r="AS66" s="10" t="str">
        <f t="shared" si="5"/>
        <v/>
      </c>
      <c r="AT66" s="10" t="str">
        <f>if(ISNUMBER($A66), VLOOKUP(AC66, mapping!$A$2:$B99,2,false),)</f>
        <v/>
      </c>
      <c r="AU66" s="10" t="str">
        <f t="shared" si="6"/>
        <v/>
      </c>
      <c r="AV66" s="10" t="str">
        <f>if(ISNUMBER($A66), VLOOKUP(AE66, mapping!$A$2:$B99,2,false),)</f>
        <v/>
      </c>
      <c r="AW66" s="10" t="str">
        <f t="shared" si="7"/>
        <v/>
      </c>
      <c r="AX66" s="10" t="str">
        <f>if(ISNUMBER($A66), VLOOKUP(AG66, mapping!$A$2:$B99,2,false),)</f>
        <v/>
      </c>
      <c r="AY66" s="10" t="str">
        <f t="shared" si="8"/>
        <v/>
      </c>
      <c r="AZ66" s="10" t="str">
        <f>if(ISNUMBER($A66), VLOOKUP(AI66, mapping!$A$2:$B99,2,false),)</f>
        <v/>
      </c>
      <c r="BA66" s="10" t="str">
        <f t="shared" si="9"/>
        <v/>
      </c>
      <c r="BB66" s="10" t="str">
        <f>if(ISNUMBER($A66), VLOOKUP(AK66, mapping!$A$2:$B99,2,false),)</f>
        <v/>
      </c>
      <c r="BC66" s="10" t="str">
        <f t="shared" ref="BC66:BD66" si="73">if(ISNUMBER($A66), IF(AL66="Not Answered","-",AL66),)</f>
        <v/>
      </c>
      <c r="BD66" s="10" t="str">
        <f t="shared" si="73"/>
        <v/>
      </c>
    </row>
    <row r="67">
      <c r="AN67" s="5" t="str">
        <f t="shared" si="3"/>
        <v/>
      </c>
      <c r="AO67" s="5" t="str">
        <f t="shared" si="4"/>
        <v/>
      </c>
      <c r="AP67" s="5" t="str">
        <f>IFERROR(__xludf.DUMMYFUNCTION("if(ISNUMBER(A67),FILTER(O67:Z67,REGEXMATCH(O67:Z67, ""Not Answered"")=FALSE),)"),"")</f>
        <v/>
      </c>
      <c r="AQ67" s="5" t="str">
        <f>if(ISNUMBER($C67), VLOOKUP(AP67, konsulenter!$A$1:$B99,2,false),)</f>
        <v/>
      </c>
      <c r="AR67" s="10" t="str">
        <f>if(ISNUMBER($A67), VLOOKUP(AA67, mapping!$A$2:$B99,2,false),)</f>
        <v/>
      </c>
      <c r="AS67" s="10" t="str">
        <f t="shared" si="5"/>
        <v/>
      </c>
      <c r="AT67" s="10" t="str">
        <f>if(ISNUMBER($A67), VLOOKUP(AC67, mapping!$A$2:$B99,2,false),)</f>
        <v/>
      </c>
      <c r="AU67" s="10" t="str">
        <f t="shared" si="6"/>
        <v/>
      </c>
      <c r="AV67" s="10" t="str">
        <f>if(ISNUMBER($A67), VLOOKUP(AE67, mapping!$A$2:$B99,2,false),)</f>
        <v/>
      </c>
      <c r="AW67" s="10" t="str">
        <f t="shared" si="7"/>
        <v/>
      </c>
      <c r="AX67" s="10" t="str">
        <f>if(ISNUMBER($A67), VLOOKUP(AG67, mapping!$A$2:$B99,2,false),)</f>
        <v/>
      </c>
      <c r="AY67" s="10" t="str">
        <f t="shared" si="8"/>
        <v/>
      </c>
      <c r="AZ67" s="10" t="str">
        <f>if(ISNUMBER($A67), VLOOKUP(AI67, mapping!$A$2:$B99,2,false),)</f>
        <v/>
      </c>
      <c r="BA67" s="10" t="str">
        <f t="shared" si="9"/>
        <v/>
      </c>
      <c r="BB67" s="10" t="str">
        <f>if(ISNUMBER($A67), VLOOKUP(AK67, mapping!$A$2:$B99,2,false),)</f>
        <v/>
      </c>
      <c r="BC67" s="10" t="str">
        <f t="shared" ref="BC67:BD67" si="74">if(ISNUMBER($A67), IF(AL67="Not Answered","-",AL67),)</f>
        <v/>
      </c>
      <c r="BD67" s="10" t="str">
        <f t="shared" si="74"/>
        <v/>
      </c>
    </row>
    <row r="68">
      <c r="AN68" s="5" t="str">
        <f t="shared" si="3"/>
        <v/>
      </c>
      <c r="AO68" s="5" t="str">
        <f t="shared" si="4"/>
        <v/>
      </c>
      <c r="AP68" s="5" t="str">
        <f>IFERROR(__xludf.DUMMYFUNCTION("if(ISNUMBER(A68),FILTER(O68:Z68,REGEXMATCH(O68:Z68, ""Not Answered"")=FALSE),)"),"")</f>
        <v/>
      </c>
      <c r="AQ68" s="5" t="str">
        <f>if(ISNUMBER($C68), VLOOKUP(AP68, konsulenter!$A$1:$B99,2,false),)</f>
        <v/>
      </c>
      <c r="AR68" s="10" t="str">
        <f>if(ISNUMBER($A68), VLOOKUP(AA68, mapping!$A$2:$B99,2,false),)</f>
        <v/>
      </c>
      <c r="AS68" s="10" t="str">
        <f t="shared" si="5"/>
        <v/>
      </c>
      <c r="AT68" s="10" t="str">
        <f>if(ISNUMBER($A68), VLOOKUP(AC68, mapping!$A$2:$B99,2,false),)</f>
        <v/>
      </c>
      <c r="AU68" s="10" t="str">
        <f t="shared" si="6"/>
        <v/>
      </c>
      <c r="AV68" s="10" t="str">
        <f>if(ISNUMBER($A68), VLOOKUP(AE68, mapping!$A$2:$B99,2,false),)</f>
        <v/>
      </c>
      <c r="AW68" s="10" t="str">
        <f t="shared" si="7"/>
        <v/>
      </c>
      <c r="AX68" s="10" t="str">
        <f>if(ISNUMBER($A68), VLOOKUP(AG68, mapping!$A$2:$B99,2,false),)</f>
        <v/>
      </c>
      <c r="AY68" s="10" t="str">
        <f t="shared" si="8"/>
        <v/>
      </c>
      <c r="AZ68" s="10" t="str">
        <f>if(ISNUMBER($A68), VLOOKUP(AI68, mapping!$A$2:$B99,2,false),)</f>
        <v/>
      </c>
      <c r="BA68" s="10" t="str">
        <f t="shared" si="9"/>
        <v/>
      </c>
      <c r="BB68" s="10" t="str">
        <f>if(ISNUMBER($A68), VLOOKUP(AK68, mapping!$A$2:$B99,2,false),)</f>
        <v/>
      </c>
      <c r="BC68" s="10" t="str">
        <f t="shared" ref="BC68:BD68" si="75">if(ISNUMBER($A68), IF(AL68="Not Answered","-",AL68),)</f>
        <v/>
      </c>
      <c r="BD68" s="10" t="str">
        <f t="shared" si="75"/>
        <v/>
      </c>
    </row>
    <row r="69">
      <c r="AN69" s="5" t="str">
        <f t="shared" si="3"/>
        <v/>
      </c>
      <c r="AO69" s="5" t="str">
        <f t="shared" si="4"/>
        <v/>
      </c>
      <c r="AP69" s="5" t="str">
        <f>IFERROR(__xludf.DUMMYFUNCTION("if(ISNUMBER(A69),FILTER(O69:Z69,REGEXMATCH(O69:Z69, ""Not Answered"")=FALSE),)"),"")</f>
        <v/>
      </c>
      <c r="AQ69" s="5" t="str">
        <f>if(ISNUMBER($C69), VLOOKUP(AP69, konsulenter!$A$1:$B99,2,false),)</f>
        <v/>
      </c>
      <c r="AR69" s="10" t="str">
        <f>if(ISNUMBER($A69), VLOOKUP(AA69, mapping!$A$2:$B99,2,false),)</f>
        <v/>
      </c>
      <c r="AS69" s="10" t="str">
        <f t="shared" si="5"/>
        <v/>
      </c>
      <c r="AT69" s="10" t="str">
        <f>if(ISNUMBER($A69), VLOOKUP(AC69, mapping!$A$2:$B99,2,false),)</f>
        <v/>
      </c>
      <c r="AU69" s="10" t="str">
        <f t="shared" si="6"/>
        <v/>
      </c>
      <c r="AV69" s="10" t="str">
        <f>if(ISNUMBER($A69), VLOOKUP(AE69, mapping!$A$2:$B99,2,false),)</f>
        <v/>
      </c>
      <c r="AW69" s="10" t="str">
        <f t="shared" si="7"/>
        <v/>
      </c>
      <c r="AX69" s="10" t="str">
        <f>if(ISNUMBER($A69), VLOOKUP(AG69, mapping!$A$2:$B99,2,false),)</f>
        <v/>
      </c>
      <c r="AY69" s="10" t="str">
        <f t="shared" si="8"/>
        <v/>
      </c>
      <c r="AZ69" s="10" t="str">
        <f>if(ISNUMBER($A69), VLOOKUP(AI69, mapping!$A$2:$B99,2,false),)</f>
        <v/>
      </c>
      <c r="BA69" s="10" t="str">
        <f t="shared" si="9"/>
        <v/>
      </c>
      <c r="BB69" s="10" t="str">
        <f>if(ISNUMBER($A69), VLOOKUP(AK69, mapping!$A$2:$B99,2,false),)</f>
        <v/>
      </c>
      <c r="BC69" s="10" t="str">
        <f t="shared" ref="BC69:BD69" si="76">if(ISNUMBER($A69), IF(AL69="Not Answered","-",AL69),)</f>
        <v/>
      </c>
      <c r="BD69" s="10" t="str">
        <f t="shared" si="76"/>
        <v/>
      </c>
    </row>
    <row r="70">
      <c r="AN70" s="5" t="str">
        <f t="shared" si="3"/>
        <v/>
      </c>
      <c r="AO70" s="5" t="str">
        <f t="shared" si="4"/>
        <v/>
      </c>
      <c r="AP70" s="5" t="str">
        <f>IFERROR(__xludf.DUMMYFUNCTION("if(ISNUMBER(A70),FILTER(O70:Z70,REGEXMATCH(O70:Z70, ""Not Answered"")=FALSE),)"),"")</f>
        <v/>
      </c>
      <c r="AQ70" s="5" t="str">
        <f>if(ISNUMBER($C70), VLOOKUP(AP70, konsulenter!$A$1:$B99,2,false),)</f>
        <v/>
      </c>
      <c r="AR70" s="10" t="str">
        <f>if(ISNUMBER($A70), VLOOKUP(AA70, mapping!$A$2:$B99,2,false),)</f>
        <v/>
      </c>
      <c r="AS70" s="10" t="str">
        <f t="shared" si="5"/>
        <v/>
      </c>
      <c r="AT70" s="10" t="str">
        <f>if(ISNUMBER($A70), VLOOKUP(AC70, mapping!$A$2:$B99,2,false),)</f>
        <v/>
      </c>
      <c r="AU70" s="10" t="str">
        <f t="shared" si="6"/>
        <v/>
      </c>
      <c r="AV70" s="10" t="str">
        <f>if(ISNUMBER($A70), VLOOKUP(AE70, mapping!$A$2:$B99,2,false),)</f>
        <v/>
      </c>
      <c r="AW70" s="10" t="str">
        <f t="shared" si="7"/>
        <v/>
      </c>
      <c r="AX70" s="10" t="str">
        <f>if(ISNUMBER($A70), VLOOKUP(AG70, mapping!$A$2:$B99,2,false),)</f>
        <v/>
      </c>
      <c r="AY70" s="10" t="str">
        <f t="shared" si="8"/>
        <v/>
      </c>
      <c r="AZ70" s="10" t="str">
        <f>if(ISNUMBER($A70), VLOOKUP(AI70, mapping!$A$2:$B99,2,false),)</f>
        <v/>
      </c>
      <c r="BA70" s="10" t="str">
        <f t="shared" si="9"/>
        <v/>
      </c>
      <c r="BB70" s="10" t="str">
        <f>if(ISNUMBER($A70), VLOOKUP(AK70, mapping!$A$2:$B99,2,false),)</f>
        <v/>
      </c>
      <c r="BC70" s="10" t="str">
        <f t="shared" ref="BC70:BD70" si="77">if(ISNUMBER($A70), IF(AL70="Not Answered","-",AL70),)</f>
        <v/>
      </c>
      <c r="BD70" s="10" t="str">
        <f t="shared" si="77"/>
        <v/>
      </c>
    </row>
    <row r="71">
      <c r="AN71" s="5" t="str">
        <f t="shared" si="3"/>
        <v/>
      </c>
      <c r="AO71" s="5" t="str">
        <f t="shared" si="4"/>
        <v/>
      </c>
      <c r="AP71" s="5" t="str">
        <f>IFERROR(__xludf.DUMMYFUNCTION("if(ISNUMBER(A71),FILTER(O71:Z71,REGEXMATCH(O71:Z71, ""Not Answered"")=FALSE),)"),"")</f>
        <v/>
      </c>
      <c r="AQ71" s="5" t="str">
        <f>if(ISNUMBER($C71), VLOOKUP(AP71, konsulenter!$A$1:$B99,2,false),)</f>
        <v/>
      </c>
      <c r="AR71" s="10" t="str">
        <f>if(ISNUMBER($A71), VLOOKUP(AA71, mapping!$A$2:$B99,2,false),)</f>
        <v/>
      </c>
      <c r="AS71" s="10" t="str">
        <f t="shared" si="5"/>
        <v/>
      </c>
      <c r="AT71" s="10" t="str">
        <f>if(ISNUMBER($A71), VLOOKUP(AC71, mapping!$A$2:$B99,2,false),)</f>
        <v/>
      </c>
      <c r="AU71" s="10" t="str">
        <f t="shared" si="6"/>
        <v/>
      </c>
      <c r="AV71" s="10" t="str">
        <f>if(ISNUMBER($A71), VLOOKUP(AE71, mapping!$A$2:$B99,2,false),)</f>
        <v/>
      </c>
      <c r="AW71" s="10" t="str">
        <f t="shared" si="7"/>
        <v/>
      </c>
      <c r="AX71" s="10" t="str">
        <f>if(ISNUMBER($A71), VLOOKUP(AG71, mapping!$A$2:$B99,2,false),)</f>
        <v/>
      </c>
      <c r="AY71" s="10" t="str">
        <f t="shared" si="8"/>
        <v/>
      </c>
      <c r="AZ71" s="10" t="str">
        <f>if(ISNUMBER($A71), VLOOKUP(AI71, mapping!$A$2:$B99,2,false),)</f>
        <v/>
      </c>
      <c r="BA71" s="10" t="str">
        <f t="shared" si="9"/>
        <v/>
      </c>
      <c r="BB71" s="10" t="str">
        <f>if(ISNUMBER($A71), VLOOKUP(AK71, mapping!$A$2:$B99,2,false),)</f>
        <v/>
      </c>
      <c r="BC71" s="10" t="str">
        <f t="shared" ref="BC71:BD71" si="78">if(ISNUMBER($A71), IF(AL71="Not Answered","-",AL71),)</f>
        <v/>
      </c>
      <c r="BD71" s="10" t="str">
        <f t="shared" si="78"/>
        <v/>
      </c>
    </row>
    <row r="72">
      <c r="AN72" s="5" t="str">
        <f t="shared" si="3"/>
        <v/>
      </c>
      <c r="AO72" s="5" t="str">
        <f t="shared" si="4"/>
        <v/>
      </c>
      <c r="AP72" s="5" t="str">
        <f>IFERROR(__xludf.DUMMYFUNCTION("if(ISNUMBER(A72),FILTER(O72:Z72,REGEXMATCH(O72:Z72, ""Not Answered"")=FALSE),)"),"")</f>
        <v/>
      </c>
      <c r="AQ72" s="5" t="str">
        <f>if(ISNUMBER($C72), VLOOKUP(AP72, konsulenter!$A$1:$B99,2,false),)</f>
        <v/>
      </c>
      <c r="AR72" s="10" t="str">
        <f>if(ISNUMBER($A72), VLOOKUP(AA72, mapping!$A$2:$B99,2,false),)</f>
        <v/>
      </c>
      <c r="AS72" s="10" t="str">
        <f t="shared" si="5"/>
        <v/>
      </c>
      <c r="AT72" s="10" t="str">
        <f>if(ISNUMBER($A72), VLOOKUP(AC72, mapping!$A$2:$B99,2,false),)</f>
        <v/>
      </c>
      <c r="AU72" s="10" t="str">
        <f t="shared" si="6"/>
        <v/>
      </c>
      <c r="AV72" s="10" t="str">
        <f>if(ISNUMBER($A72), VLOOKUP(AE72, mapping!$A$2:$B99,2,false),)</f>
        <v/>
      </c>
      <c r="AW72" s="10" t="str">
        <f t="shared" si="7"/>
        <v/>
      </c>
      <c r="AX72" s="10" t="str">
        <f>if(ISNUMBER($A72), VLOOKUP(AG72, mapping!$A$2:$B99,2,false),)</f>
        <v/>
      </c>
      <c r="AY72" s="10" t="str">
        <f t="shared" si="8"/>
        <v/>
      </c>
      <c r="AZ72" s="10" t="str">
        <f>if(ISNUMBER($A72), VLOOKUP(AI72, mapping!$A$2:$B99,2,false),)</f>
        <v/>
      </c>
      <c r="BA72" s="10" t="str">
        <f t="shared" si="9"/>
        <v/>
      </c>
      <c r="BB72" s="10" t="str">
        <f>if(ISNUMBER($A72), VLOOKUP(AK72, mapping!$A$2:$B99,2,false),)</f>
        <v/>
      </c>
      <c r="BC72" s="10" t="str">
        <f t="shared" ref="BC72:BD72" si="79">if(ISNUMBER($A72), IF(AL72="Not Answered","-",AL72),)</f>
        <v/>
      </c>
      <c r="BD72" s="10" t="str">
        <f t="shared" si="79"/>
        <v/>
      </c>
    </row>
    <row r="73">
      <c r="AN73" s="5" t="str">
        <f t="shared" si="3"/>
        <v/>
      </c>
      <c r="AO73" s="5" t="str">
        <f t="shared" si="4"/>
        <v/>
      </c>
      <c r="AP73" s="5" t="str">
        <f>IFERROR(__xludf.DUMMYFUNCTION("if(ISNUMBER(A73),FILTER(O73:Z73,REGEXMATCH(O73:Z73, ""Not Answered"")=FALSE),)"),"")</f>
        <v/>
      </c>
      <c r="AQ73" s="5" t="str">
        <f>if(ISNUMBER($C73), VLOOKUP(AP73, konsulenter!$A$1:$B99,2,false),)</f>
        <v/>
      </c>
      <c r="AR73" s="10" t="str">
        <f>if(ISNUMBER($A73), VLOOKUP(AA73, mapping!$A$2:$B99,2,false),)</f>
        <v/>
      </c>
      <c r="AS73" s="10" t="str">
        <f t="shared" si="5"/>
        <v/>
      </c>
      <c r="AT73" s="10" t="str">
        <f>if(ISNUMBER($A73), VLOOKUP(AC73, mapping!$A$2:$B99,2,false),)</f>
        <v/>
      </c>
      <c r="AU73" s="10" t="str">
        <f t="shared" si="6"/>
        <v/>
      </c>
      <c r="AV73" s="10" t="str">
        <f>if(ISNUMBER($A73), VLOOKUP(AE73, mapping!$A$2:$B99,2,false),)</f>
        <v/>
      </c>
      <c r="AW73" s="10" t="str">
        <f t="shared" si="7"/>
        <v/>
      </c>
      <c r="AX73" s="10" t="str">
        <f>if(ISNUMBER($A73), VLOOKUP(AG73, mapping!$A$2:$B99,2,false),)</f>
        <v/>
      </c>
      <c r="AY73" s="10" t="str">
        <f t="shared" si="8"/>
        <v/>
      </c>
      <c r="AZ73" s="10" t="str">
        <f>if(ISNUMBER($A73), VLOOKUP(AI73, mapping!$A$2:$B99,2,false),)</f>
        <v/>
      </c>
      <c r="BA73" s="10" t="str">
        <f t="shared" si="9"/>
        <v/>
      </c>
      <c r="BB73" s="10" t="str">
        <f>if(ISNUMBER($A73), VLOOKUP(AK73, mapping!$A$2:$B99,2,false),)</f>
        <v/>
      </c>
      <c r="BC73" s="10" t="str">
        <f t="shared" ref="BC73:BD73" si="80">if(ISNUMBER($A73), IF(AL73="Not Answered","-",AL73),)</f>
        <v/>
      </c>
      <c r="BD73" s="10" t="str">
        <f t="shared" si="80"/>
        <v/>
      </c>
    </row>
    <row r="74">
      <c r="AN74" s="5" t="str">
        <f t="shared" si="3"/>
        <v/>
      </c>
      <c r="AO74" s="5" t="str">
        <f t="shared" si="4"/>
        <v/>
      </c>
      <c r="AP74" s="5" t="str">
        <f>IFERROR(__xludf.DUMMYFUNCTION("if(ISNUMBER(A74),FILTER(O74:Z74,REGEXMATCH(O74:Z74, ""Not Answered"")=FALSE),)"),"")</f>
        <v/>
      </c>
      <c r="AQ74" s="5" t="str">
        <f>if(ISNUMBER($C74), VLOOKUP(AP74, konsulenter!$A$1:$B99,2,false),)</f>
        <v/>
      </c>
      <c r="AR74" s="10" t="str">
        <f>if(ISNUMBER($A74), VLOOKUP(AA74, mapping!$A$2:$B99,2,false),)</f>
        <v/>
      </c>
      <c r="AS74" s="10" t="str">
        <f t="shared" si="5"/>
        <v/>
      </c>
      <c r="AT74" s="10" t="str">
        <f>if(ISNUMBER($A74), VLOOKUP(AC74, mapping!$A$2:$B99,2,false),)</f>
        <v/>
      </c>
      <c r="AU74" s="10" t="str">
        <f t="shared" si="6"/>
        <v/>
      </c>
      <c r="AV74" s="10" t="str">
        <f>if(ISNUMBER($A74), VLOOKUP(AE74, mapping!$A$2:$B99,2,false),)</f>
        <v/>
      </c>
      <c r="AW74" s="10" t="str">
        <f t="shared" si="7"/>
        <v/>
      </c>
      <c r="AX74" s="10" t="str">
        <f>if(ISNUMBER($A74), VLOOKUP(AG74, mapping!$A$2:$B99,2,false),)</f>
        <v/>
      </c>
      <c r="AY74" s="10" t="str">
        <f t="shared" si="8"/>
        <v/>
      </c>
      <c r="AZ74" s="10" t="str">
        <f>if(ISNUMBER($A74), VLOOKUP(AI74, mapping!$A$2:$B99,2,false),)</f>
        <v/>
      </c>
      <c r="BA74" s="10" t="str">
        <f t="shared" si="9"/>
        <v/>
      </c>
      <c r="BB74" s="10" t="str">
        <f>if(ISNUMBER($A74), VLOOKUP(AK74, mapping!$A$2:$B99,2,false),)</f>
        <v/>
      </c>
      <c r="BC74" s="10" t="str">
        <f t="shared" ref="BC74:BD74" si="81">if(ISNUMBER($A74), IF(AL74="Not Answered","-",AL74),)</f>
        <v/>
      </c>
      <c r="BD74" s="10" t="str">
        <f t="shared" si="81"/>
        <v/>
      </c>
    </row>
    <row r="75">
      <c r="AN75" s="5" t="str">
        <f t="shared" si="3"/>
        <v/>
      </c>
      <c r="AO75" s="5" t="str">
        <f t="shared" si="4"/>
        <v/>
      </c>
      <c r="AP75" s="5" t="str">
        <f>IFERROR(__xludf.DUMMYFUNCTION("if(ISNUMBER(A75),FILTER(O75:Z75,REGEXMATCH(O75:Z75, ""Not Answered"")=FALSE),)"),"")</f>
        <v/>
      </c>
      <c r="AQ75" s="5" t="str">
        <f>if(ISNUMBER($C75), VLOOKUP(AP75, konsulenter!$A$1:$B99,2,false),)</f>
        <v/>
      </c>
      <c r="AR75" s="10" t="str">
        <f>if(ISNUMBER($A75), VLOOKUP(AA75, mapping!$A$2:$B99,2,false),)</f>
        <v/>
      </c>
      <c r="AS75" s="10" t="str">
        <f t="shared" si="5"/>
        <v/>
      </c>
      <c r="AT75" s="10" t="str">
        <f>if(ISNUMBER($A75), VLOOKUP(AC75, mapping!$A$2:$B99,2,false),)</f>
        <v/>
      </c>
      <c r="AU75" s="10" t="str">
        <f t="shared" si="6"/>
        <v/>
      </c>
      <c r="AV75" s="10" t="str">
        <f>if(ISNUMBER($A75), VLOOKUP(AE75, mapping!$A$2:$B99,2,false),)</f>
        <v/>
      </c>
      <c r="AW75" s="10" t="str">
        <f t="shared" si="7"/>
        <v/>
      </c>
      <c r="AX75" s="10" t="str">
        <f>if(ISNUMBER($A75), VLOOKUP(AG75, mapping!$A$2:$B99,2,false),)</f>
        <v/>
      </c>
      <c r="AY75" s="10" t="str">
        <f t="shared" si="8"/>
        <v/>
      </c>
      <c r="AZ75" s="10" t="str">
        <f>if(ISNUMBER($A75), VLOOKUP(AI75, mapping!$A$2:$B99,2,false),)</f>
        <v/>
      </c>
      <c r="BA75" s="10" t="str">
        <f t="shared" si="9"/>
        <v/>
      </c>
      <c r="BB75" s="10" t="str">
        <f>if(ISNUMBER($A75), VLOOKUP(AK75, mapping!$A$2:$B99,2,false),)</f>
        <v/>
      </c>
      <c r="BC75" s="10" t="str">
        <f t="shared" ref="BC75:BD75" si="82">if(ISNUMBER($A75), IF(AL75="Not Answered","-",AL75),)</f>
        <v/>
      </c>
      <c r="BD75" s="10" t="str">
        <f t="shared" si="82"/>
        <v/>
      </c>
    </row>
    <row r="76">
      <c r="AN76" s="5" t="str">
        <f t="shared" si="3"/>
        <v/>
      </c>
      <c r="AO76" s="5" t="str">
        <f t="shared" si="4"/>
        <v/>
      </c>
      <c r="AP76" s="5" t="str">
        <f>IFERROR(__xludf.DUMMYFUNCTION("if(ISNUMBER(A76),FILTER(O76:Z76,REGEXMATCH(O76:Z76, ""Not Answered"")=FALSE),)"),"")</f>
        <v/>
      </c>
      <c r="AQ76" s="5" t="str">
        <f>if(ISNUMBER($C76), VLOOKUP(AP76, konsulenter!$A$1:$B99,2,false),)</f>
        <v/>
      </c>
      <c r="AR76" s="10" t="str">
        <f>if(ISNUMBER($A76), VLOOKUP(AA76, mapping!$A$2:$B99,2,false),)</f>
        <v/>
      </c>
      <c r="AS76" s="10" t="str">
        <f t="shared" si="5"/>
        <v/>
      </c>
      <c r="AT76" s="10" t="str">
        <f>if(ISNUMBER($A76), VLOOKUP(AC76, mapping!$A$2:$B99,2,false),)</f>
        <v/>
      </c>
      <c r="AU76" s="10" t="str">
        <f t="shared" si="6"/>
        <v/>
      </c>
      <c r="AV76" s="10" t="str">
        <f>if(ISNUMBER($A76), VLOOKUP(AE76, mapping!$A$2:$B99,2,false),)</f>
        <v/>
      </c>
      <c r="AW76" s="10" t="str">
        <f t="shared" si="7"/>
        <v/>
      </c>
      <c r="AX76" s="10" t="str">
        <f>if(ISNUMBER($A76), VLOOKUP(AG76, mapping!$A$2:$B99,2,false),)</f>
        <v/>
      </c>
      <c r="AY76" s="10" t="str">
        <f t="shared" si="8"/>
        <v/>
      </c>
      <c r="AZ76" s="10" t="str">
        <f>if(ISNUMBER($A76), VLOOKUP(AI76, mapping!$A$2:$B99,2,false),)</f>
        <v/>
      </c>
      <c r="BA76" s="10" t="str">
        <f t="shared" si="9"/>
        <v/>
      </c>
      <c r="BB76" s="10" t="str">
        <f>if(ISNUMBER($A76), VLOOKUP(AK76, mapping!$A$2:$B99,2,false),)</f>
        <v/>
      </c>
      <c r="BC76" s="10" t="str">
        <f t="shared" ref="BC76:BD76" si="83">if(ISNUMBER($A76), IF(AL76="Not Answered","-",AL76),)</f>
        <v/>
      </c>
      <c r="BD76" s="10" t="str">
        <f t="shared" si="83"/>
        <v/>
      </c>
    </row>
    <row r="77">
      <c r="AN77" s="5" t="str">
        <f t="shared" si="3"/>
        <v/>
      </c>
      <c r="AO77" s="5" t="str">
        <f t="shared" si="4"/>
        <v/>
      </c>
      <c r="AP77" s="5" t="str">
        <f>IFERROR(__xludf.DUMMYFUNCTION("if(ISNUMBER(A77),FILTER(O77:Z77,REGEXMATCH(O77:Z77, ""Not Answered"")=FALSE),)"),"")</f>
        <v/>
      </c>
      <c r="AQ77" s="5" t="str">
        <f>if(ISNUMBER($C77), VLOOKUP(AP77, konsulenter!$A$1:$B99,2,false),)</f>
        <v/>
      </c>
      <c r="AR77" s="10" t="str">
        <f>if(ISNUMBER($A77), VLOOKUP(AA77, mapping!$A$2:$B99,2,false),)</f>
        <v/>
      </c>
      <c r="AS77" s="10" t="str">
        <f t="shared" si="5"/>
        <v/>
      </c>
      <c r="AT77" s="10" t="str">
        <f>if(ISNUMBER($A77), VLOOKUP(AC77, mapping!$A$2:$B99,2,false),)</f>
        <v/>
      </c>
      <c r="AU77" s="10" t="str">
        <f t="shared" si="6"/>
        <v/>
      </c>
      <c r="AV77" s="10" t="str">
        <f>if(ISNUMBER($A77), VLOOKUP(AE77, mapping!$A$2:$B99,2,false),)</f>
        <v/>
      </c>
      <c r="AW77" s="10" t="str">
        <f t="shared" si="7"/>
        <v/>
      </c>
      <c r="AX77" s="10" t="str">
        <f>if(ISNUMBER($A77), VLOOKUP(AG77, mapping!$A$2:$B99,2,false),)</f>
        <v/>
      </c>
      <c r="AY77" s="10" t="str">
        <f t="shared" si="8"/>
        <v/>
      </c>
      <c r="AZ77" s="10" t="str">
        <f>if(ISNUMBER($A77), VLOOKUP(AI77, mapping!$A$2:$B99,2,false),)</f>
        <v/>
      </c>
      <c r="BA77" s="10" t="str">
        <f t="shared" si="9"/>
        <v/>
      </c>
      <c r="BB77" s="10" t="str">
        <f>if(ISNUMBER($A77), VLOOKUP(AK77, mapping!$A$2:$B99,2,false),)</f>
        <v/>
      </c>
      <c r="BC77" s="10" t="str">
        <f t="shared" ref="BC77:BD77" si="84">if(ISNUMBER($A77), IF(AL77="Not Answered","-",AL77),)</f>
        <v/>
      </c>
      <c r="BD77" s="10" t="str">
        <f t="shared" si="84"/>
        <v/>
      </c>
    </row>
    <row r="78">
      <c r="AN78" s="5" t="str">
        <f t="shared" si="3"/>
        <v/>
      </c>
      <c r="AO78" s="5" t="str">
        <f t="shared" si="4"/>
        <v/>
      </c>
      <c r="AP78" s="5" t="str">
        <f>IFERROR(__xludf.DUMMYFUNCTION("if(ISNUMBER(A78),FILTER(O78:Z78,REGEXMATCH(O78:Z78, ""Not Answered"")=FALSE),)"),"")</f>
        <v/>
      </c>
      <c r="AQ78" s="5" t="str">
        <f>if(ISNUMBER($C78), VLOOKUP(AP78, konsulenter!$A$1:$B99,2,false),)</f>
        <v/>
      </c>
      <c r="AR78" s="10" t="str">
        <f>if(ISNUMBER($A78), VLOOKUP(AA78, mapping!$A$2:$B99,2,false),)</f>
        <v/>
      </c>
      <c r="AS78" s="10" t="str">
        <f t="shared" si="5"/>
        <v/>
      </c>
      <c r="AT78" s="10" t="str">
        <f>if(ISNUMBER($A78), VLOOKUP(AC78, mapping!$A$2:$B99,2,false),)</f>
        <v/>
      </c>
      <c r="AU78" s="10" t="str">
        <f t="shared" si="6"/>
        <v/>
      </c>
      <c r="AV78" s="10" t="str">
        <f>if(ISNUMBER($A78), VLOOKUP(AE78, mapping!$A$2:$B99,2,false),)</f>
        <v/>
      </c>
      <c r="AW78" s="10" t="str">
        <f t="shared" si="7"/>
        <v/>
      </c>
      <c r="AX78" s="10" t="str">
        <f>if(ISNUMBER($A78), VLOOKUP(AG78, mapping!$A$2:$B99,2,false),)</f>
        <v/>
      </c>
      <c r="AY78" s="10" t="str">
        <f t="shared" si="8"/>
        <v/>
      </c>
      <c r="AZ78" s="10" t="str">
        <f>if(ISNUMBER($A78), VLOOKUP(AI78, mapping!$A$2:$B99,2,false),)</f>
        <v/>
      </c>
      <c r="BA78" s="10" t="str">
        <f t="shared" si="9"/>
        <v/>
      </c>
      <c r="BB78" s="10" t="str">
        <f>if(ISNUMBER($A78), VLOOKUP(AK78, mapping!$A$2:$B99,2,false),)</f>
        <v/>
      </c>
      <c r="BC78" s="10" t="str">
        <f t="shared" ref="BC78:BD78" si="85">if(ISNUMBER($A78), IF(AL78="Not Answered","-",AL78),)</f>
        <v/>
      </c>
      <c r="BD78" s="10" t="str">
        <f t="shared" si="85"/>
        <v/>
      </c>
    </row>
    <row r="79">
      <c r="AN79" s="5" t="str">
        <f t="shared" si="3"/>
        <v/>
      </c>
      <c r="AO79" s="5" t="str">
        <f t="shared" si="4"/>
        <v/>
      </c>
      <c r="AP79" s="5" t="str">
        <f>IFERROR(__xludf.DUMMYFUNCTION("if(ISNUMBER(A79),FILTER(O79:Z79,REGEXMATCH(O79:Z79, ""Not Answered"")=FALSE),)"),"")</f>
        <v/>
      </c>
      <c r="AQ79" s="5" t="str">
        <f>if(ISNUMBER($C79), VLOOKUP(AP79, konsulenter!$A$1:$B99,2,false),)</f>
        <v/>
      </c>
      <c r="AR79" s="10" t="str">
        <f>if(ISNUMBER($A79), VLOOKUP(AA79, mapping!$A$2:$B99,2,false),)</f>
        <v/>
      </c>
      <c r="AS79" s="10" t="str">
        <f t="shared" si="5"/>
        <v/>
      </c>
      <c r="AT79" s="10" t="str">
        <f>if(ISNUMBER($A79), VLOOKUP(AC79, mapping!$A$2:$B99,2,false),)</f>
        <v/>
      </c>
      <c r="AU79" s="10" t="str">
        <f t="shared" si="6"/>
        <v/>
      </c>
      <c r="AV79" s="10" t="str">
        <f>if(ISNUMBER($A79), VLOOKUP(AE79, mapping!$A$2:$B99,2,false),)</f>
        <v/>
      </c>
      <c r="AW79" s="10" t="str">
        <f t="shared" si="7"/>
        <v/>
      </c>
      <c r="AX79" s="10" t="str">
        <f>if(ISNUMBER($A79), VLOOKUP(AG79, mapping!$A$2:$B99,2,false),)</f>
        <v/>
      </c>
      <c r="AY79" s="10" t="str">
        <f t="shared" si="8"/>
        <v/>
      </c>
      <c r="AZ79" s="10" t="str">
        <f>if(ISNUMBER($A79), VLOOKUP(AI79, mapping!$A$2:$B99,2,false),)</f>
        <v/>
      </c>
      <c r="BA79" s="10" t="str">
        <f t="shared" si="9"/>
        <v/>
      </c>
      <c r="BB79" s="10" t="str">
        <f>if(ISNUMBER($A79), VLOOKUP(AK79, mapping!$A$2:$B99,2,false),)</f>
        <v/>
      </c>
      <c r="BC79" s="10" t="str">
        <f t="shared" ref="BC79:BD79" si="86">if(ISNUMBER($A79), IF(AL79="Not Answered","-",AL79),)</f>
        <v/>
      </c>
      <c r="BD79" s="10" t="str">
        <f t="shared" si="86"/>
        <v/>
      </c>
    </row>
    <row r="80">
      <c r="AN80" s="5" t="str">
        <f t="shared" si="3"/>
        <v/>
      </c>
      <c r="AO80" s="5" t="str">
        <f t="shared" si="4"/>
        <v/>
      </c>
      <c r="AP80" s="5" t="str">
        <f>IFERROR(__xludf.DUMMYFUNCTION("if(ISNUMBER(A80),FILTER(O80:Z80,REGEXMATCH(O80:Z80, ""Not Answered"")=FALSE),)"),"")</f>
        <v/>
      </c>
      <c r="AQ80" s="5" t="str">
        <f>if(ISNUMBER($C80), VLOOKUP(AP80, konsulenter!$A$1:$B99,2,false),)</f>
        <v/>
      </c>
      <c r="AR80" s="10" t="str">
        <f>if(ISNUMBER($A80), VLOOKUP(AA80, mapping!$A$2:$B99,2,false),)</f>
        <v/>
      </c>
      <c r="AS80" s="10" t="str">
        <f t="shared" si="5"/>
        <v/>
      </c>
      <c r="AT80" s="10" t="str">
        <f>if(ISNUMBER($A80), VLOOKUP(AC80, mapping!$A$2:$B99,2,false),)</f>
        <v/>
      </c>
      <c r="AU80" s="10" t="str">
        <f t="shared" si="6"/>
        <v/>
      </c>
      <c r="AV80" s="10" t="str">
        <f>if(ISNUMBER($A80), VLOOKUP(AE80, mapping!$A$2:$B99,2,false),)</f>
        <v/>
      </c>
      <c r="AW80" s="10" t="str">
        <f t="shared" si="7"/>
        <v/>
      </c>
      <c r="AX80" s="10" t="str">
        <f>if(ISNUMBER($A80), VLOOKUP(AG80, mapping!$A$2:$B99,2,false),)</f>
        <v/>
      </c>
      <c r="AY80" s="10" t="str">
        <f t="shared" si="8"/>
        <v/>
      </c>
      <c r="AZ80" s="10" t="str">
        <f>if(ISNUMBER($A80), VLOOKUP(AI80, mapping!$A$2:$B99,2,false),)</f>
        <v/>
      </c>
      <c r="BA80" s="10" t="str">
        <f t="shared" si="9"/>
        <v/>
      </c>
      <c r="BB80" s="10" t="str">
        <f>if(ISNUMBER($A80), VLOOKUP(AK80, mapping!$A$2:$B99,2,false),)</f>
        <v/>
      </c>
      <c r="BC80" s="10" t="str">
        <f t="shared" ref="BC80:BD80" si="87">if(ISNUMBER($A80), IF(AL80="Not Answered","-",AL80),)</f>
        <v/>
      </c>
      <c r="BD80" s="10" t="str">
        <f t="shared" si="87"/>
        <v/>
      </c>
    </row>
    <row r="81">
      <c r="AN81" s="5" t="str">
        <f t="shared" si="3"/>
        <v/>
      </c>
      <c r="AO81" s="5" t="str">
        <f t="shared" si="4"/>
        <v/>
      </c>
      <c r="AP81" s="5" t="str">
        <f>IFERROR(__xludf.DUMMYFUNCTION("if(ISNUMBER(A81),FILTER(O81:Z81,REGEXMATCH(O81:Z81, ""Not Answered"")=FALSE),)"),"")</f>
        <v/>
      </c>
      <c r="AQ81" s="5" t="str">
        <f>if(ISNUMBER($C81), VLOOKUP(AP81, konsulenter!$A$1:$B99,2,false),)</f>
        <v/>
      </c>
      <c r="AR81" s="10" t="str">
        <f>if(ISNUMBER($A81), VLOOKUP(AA81, mapping!$A$2:$B99,2,false),)</f>
        <v/>
      </c>
      <c r="AS81" s="10" t="str">
        <f t="shared" si="5"/>
        <v/>
      </c>
      <c r="AT81" s="10" t="str">
        <f>if(ISNUMBER($A81), VLOOKUP(AC81, mapping!$A$2:$B99,2,false),)</f>
        <v/>
      </c>
      <c r="AU81" s="10" t="str">
        <f t="shared" si="6"/>
        <v/>
      </c>
      <c r="AV81" s="10" t="str">
        <f>if(ISNUMBER($A81), VLOOKUP(AE81, mapping!$A$2:$B99,2,false),)</f>
        <v/>
      </c>
      <c r="AW81" s="10" t="str">
        <f t="shared" si="7"/>
        <v/>
      </c>
      <c r="AX81" s="10" t="str">
        <f>if(ISNUMBER($A81), VLOOKUP(AG81, mapping!$A$2:$B99,2,false),)</f>
        <v/>
      </c>
      <c r="AY81" s="10" t="str">
        <f t="shared" si="8"/>
        <v/>
      </c>
      <c r="AZ81" s="10" t="str">
        <f>if(ISNUMBER($A81), VLOOKUP(AI81, mapping!$A$2:$B99,2,false),)</f>
        <v/>
      </c>
      <c r="BA81" s="10" t="str">
        <f t="shared" si="9"/>
        <v/>
      </c>
      <c r="BB81" s="10" t="str">
        <f>if(ISNUMBER($A81), VLOOKUP(AK81, mapping!$A$2:$B99,2,false),)</f>
        <v/>
      </c>
      <c r="BC81" s="10" t="str">
        <f t="shared" ref="BC81:BD81" si="88">if(ISNUMBER($A81), IF(AL81="Not Answered","-",AL81),)</f>
        <v/>
      </c>
      <c r="BD81" s="10" t="str">
        <f t="shared" si="88"/>
        <v/>
      </c>
    </row>
    <row r="82">
      <c r="AN82" s="5" t="str">
        <f t="shared" si="3"/>
        <v/>
      </c>
      <c r="AO82" s="5" t="str">
        <f t="shared" si="4"/>
        <v/>
      </c>
      <c r="AP82" s="5" t="str">
        <f>IFERROR(__xludf.DUMMYFUNCTION("if(ISNUMBER(A82),FILTER(O82:Z82,REGEXMATCH(O82:Z82, ""Not Answered"")=FALSE),)"),"")</f>
        <v/>
      </c>
      <c r="AQ82" s="5" t="str">
        <f>if(ISNUMBER($C82), VLOOKUP(AP82, konsulenter!$A$1:$B99,2,false),)</f>
        <v/>
      </c>
      <c r="AR82" s="10" t="str">
        <f>if(ISNUMBER($A82), VLOOKUP(AA82, mapping!$A$2:$B99,2,false),)</f>
        <v/>
      </c>
      <c r="AS82" s="10" t="str">
        <f t="shared" si="5"/>
        <v/>
      </c>
      <c r="AT82" s="10" t="str">
        <f>if(ISNUMBER($A82), VLOOKUP(AC82, mapping!$A$2:$B99,2,false),)</f>
        <v/>
      </c>
      <c r="AU82" s="10" t="str">
        <f t="shared" si="6"/>
        <v/>
      </c>
      <c r="AV82" s="10" t="str">
        <f>if(ISNUMBER($A82), VLOOKUP(AE82, mapping!$A$2:$B99,2,false),)</f>
        <v/>
      </c>
      <c r="AW82" s="10" t="str">
        <f t="shared" si="7"/>
        <v/>
      </c>
      <c r="AX82" s="10" t="str">
        <f>if(ISNUMBER($A82), VLOOKUP(AG82, mapping!$A$2:$B99,2,false),)</f>
        <v/>
      </c>
      <c r="AY82" s="10" t="str">
        <f t="shared" si="8"/>
        <v/>
      </c>
      <c r="AZ82" s="10" t="str">
        <f>if(ISNUMBER($A82), VLOOKUP(AI82, mapping!$A$2:$B99,2,false),)</f>
        <v/>
      </c>
      <c r="BA82" s="10" t="str">
        <f t="shared" si="9"/>
        <v/>
      </c>
      <c r="BB82" s="10" t="str">
        <f>if(ISNUMBER($A82), VLOOKUP(AK82, mapping!$A$2:$B99,2,false),)</f>
        <v/>
      </c>
      <c r="BC82" s="10" t="str">
        <f t="shared" ref="BC82:BD82" si="89">if(ISNUMBER($A82), IF(AL82="Not Answered","-",AL82),)</f>
        <v/>
      </c>
      <c r="BD82" s="10" t="str">
        <f t="shared" si="89"/>
        <v/>
      </c>
    </row>
    <row r="83">
      <c r="AN83" s="5" t="str">
        <f t="shared" si="3"/>
        <v/>
      </c>
      <c r="AO83" s="5" t="str">
        <f t="shared" si="4"/>
        <v/>
      </c>
      <c r="AP83" s="5" t="str">
        <f>IFERROR(__xludf.DUMMYFUNCTION("if(ISNUMBER(A83),FILTER(O83:Z83,REGEXMATCH(O83:Z83, ""Not Answered"")=FALSE),)"),"")</f>
        <v/>
      </c>
      <c r="AQ83" s="5" t="str">
        <f>if(ISNUMBER($C83), VLOOKUP(AP83, konsulenter!$A$1:$B99,2,false),)</f>
        <v/>
      </c>
      <c r="AR83" s="10" t="str">
        <f>if(ISNUMBER($A83), VLOOKUP(AA83, mapping!$A$2:$B99,2,false),)</f>
        <v/>
      </c>
      <c r="AS83" s="10" t="str">
        <f t="shared" si="5"/>
        <v/>
      </c>
      <c r="AT83" s="10" t="str">
        <f>if(ISNUMBER($A83), VLOOKUP(AC83, mapping!$A$2:$B99,2,false),)</f>
        <v/>
      </c>
      <c r="AU83" s="10" t="str">
        <f t="shared" si="6"/>
        <v/>
      </c>
      <c r="AV83" s="10" t="str">
        <f>if(ISNUMBER($A83), VLOOKUP(AE83, mapping!$A$2:$B99,2,false),)</f>
        <v/>
      </c>
      <c r="AW83" s="10" t="str">
        <f t="shared" si="7"/>
        <v/>
      </c>
      <c r="AX83" s="10" t="str">
        <f>if(ISNUMBER($A83), VLOOKUP(AG83, mapping!$A$2:$B99,2,false),)</f>
        <v/>
      </c>
      <c r="AY83" s="10" t="str">
        <f t="shared" si="8"/>
        <v/>
      </c>
      <c r="AZ83" s="10" t="str">
        <f>if(ISNUMBER($A83), VLOOKUP(AI83, mapping!$A$2:$B99,2,false),)</f>
        <v/>
      </c>
      <c r="BA83" s="10" t="str">
        <f t="shared" si="9"/>
        <v/>
      </c>
      <c r="BB83" s="10" t="str">
        <f>if(ISNUMBER($A83), VLOOKUP(AK83, mapping!$A$2:$B99,2,false),)</f>
        <v/>
      </c>
      <c r="BC83" s="10" t="str">
        <f t="shared" ref="BC83:BD83" si="90">if(ISNUMBER($A83), IF(AL83="Not Answered","-",AL83),)</f>
        <v/>
      </c>
      <c r="BD83" s="10" t="str">
        <f t="shared" si="90"/>
        <v/>
      </c>
    </row>
    <row r="84">
      <c r="AN84" s="5" t="str">
        <f t="shared" si="3"/>
        <v/>
      </c>
      <c r="AO84" s="5" t="str">
        <f t="shared" si="4"/>
        <v/>
      </c>
      <c r="AP84" s="5" t="str">
        <f>IFERROR(__xludf.DUMMYFUNCTION("if(ISNUMBER(A84),FILTER(O84:Z84,REGEXMATCH(O84:Z84, ""Not Answered"")=FALSE),)"),"")</f>
        <v/>
      </c>
      <c r="AQ84" s="5" t="str">
        <f>if(ISNUMBER($C84), VLOOKUP(AP84, konsulenter!$A$1:$B99,2,false),)</f>
        <v/>
      </c>
      <c r="AR84" s="10" t="str">
        <f>if(ISNUMBER($A84), VLOOKUP(AA84, mapping!$A$2:$B99,2,false),)</f>
        <v/>
      </c>
      <c r="AS84" s="10" t="str">
        <f t="shared" si="5"/>
        <v/>
      </c>
      <c r="AT84" s="10" t="str">
        <f>if(ISNUMBER($A84), VLOOKUP(AC84, mapping!$A$2:$B99,2,false),)</f>
        <v/>
      </c>
      <c r="AU84" s="10" t="str">
        <f t="shared" si="6"/>
        <v/>
      </c>
      <c r="AV84" s="10" t="str">
        <f>if(ISNUMBER($A84), VLOOKUP(AE84, mapping!$A$2:$B99,2,false),)</f>
        <v/>
      </c>
      <c r="AW84" s="10" t="str">
        <f t="shared" si="7"/>
        <v/>
      </c>
      <c r="AX84" s="10" t="str">
        <f>if(ISNUMBER($A84), VLOOKUP(AG84, mapping!$A$2:$B99,2,false),)</f>
        <v/>
      </c>
      <c r="AY84" s="10" t="str">
        <f t="shared" si="8"/>
        <v/>
      </c>
      <c r="AZ84" s="10" t="str">
        <f>if(ISNUMBER($A84), VLOOKUP(AI84, mapping!$A$2:$B99,2,false),)</f>
        <v/>
      </c>
      <c r="BA84" s="10" t="str">
        <f t="shared" si="9"/>
        <v/>
      </c>
      <c r="BB84" s="10" t="str">
        <f>if(ISNUMBER($A84), VLOOKUP(AK84, mapping!$A$2:$B99,2,false),)</f>
        <v/>
      </c>
      <c r="BC84" s="10" t="str">
        <f t="shared" ref="BC84:BD84" si="91">if(ISNUMBER($A84), IF(AL84="Not Answered","-",AL84),)</f>
        <v/>
      </c>
      <c r="BD84" s="10" t="str">
        <f t="shared" si="91"/>
        <v/>
      </c>
    </row>
    <row r="85">
      <c r="AN85" s="5" t="str">
        <f t="shared" si="3"/>
        <v/>
      </c>
      <c r="AO85" s="5" t="str">
        <f t="shared" si="4"/>
        <v/>
      </c>
      <c r="AP85" s="5" t="str">
        <f>IFERROR(__xludf.DUMMYFUNCTION("if(ISNUMBER(A85),FILTER(O85:Z85,REGEXMATCH(O85:Z85, ""Not Answered"")=FALSE),)"),"")</f>
        <v/>
      </c>
      <c r="AQ85" s="5" t="str">
        <f>if(ISNUMBER($C85), VLOOKUP(AP85, konsulenter!$A$1:$B99,2,false),)</f>
        <v/>
      </c>
      <c r="AR85" s="10" t="str">
        <f>if(ISNUMBER($A85), VLOOKUP(AA85, mapping!$A$2:$B99,2,false),)</f>
        <v/>
      </c>
      <c r="AS85" s="10" t="str">
        <f t="shared" si="5"/>
        <v/>
      </c>
      <c r="AT85" s="10" t="str">
        <f>if(ISNUMBER($A85), VLOOKUP(AC85, mapping!$A$2:$B99,2,false),)</f>
        <v/>
      </c>
      <c r="AU85" s="10" t="str">
        <f t="shared" si="6"/>
        <v/>
      </c>
      <c r="AV85" s="10" t="str">
        <f>if(ISNUMBER($A85), VLOOKUP(AE85, mapping!$A$2:$B99,2,false),)</f>
        <v/>
      </c>
      <c r="AW85" s="10" t="str">
        <f t="shared" si="7"/>
        <v/>
      </c>
      <c r="AX85" s="10" t="str">
        <f>if(ISNUMBER($A85), VLOOKUP(AG85, mapping!$A$2:$B99,2,false),)</f>
        <v/>
      </c>
      <c r="AY85" s="10" t="str">
        <f t="shared" si="8"/>
        <v/>
      </c>
      <c r="AZ85" s="10" t="str">
        <f>if(ISNUMBER($A85), VLOOKUP(AI85, mapping!$A$2:$B99,2,false),)</f>
        <v/>
      </c>
      <c r="BA85" s="10" t="str">
        <f t="shared" si="9"/>
        <v/>
      </c>
      <c r="BB85" s="10" t="str">
        <f>if(ISNUMBER($A85), VLOOKUP(AK85, mapping!$A$2:$B99,2,false),)</f>
        <v/>
      </c>
      <c r="BC85" s="10" t="str">
        <f t="shared" ref="BC85:BD85" si="92">if(ISNUMBER($A85), IF(AL85="Not Answered","-",AL85),)</f>
        <v/>
      </c>
      <c r="BD85" s="10" t="str">
        <f t="shared" si="92"/>
        <v/>
      </c>
    </row>
    <row r="86">
      <c r="AN86" s="5" t="str">
        <f t="shared" si="3"/>
        <v/>
      </c>
      <c r="AO86" s="5" t="str">
        <f t="shared" si="4"/>
        <v/>
      </c>
      <c r="AP86" s="5" t="str">
        <f>IFERROR(__xludf.DUMMYFUNCTION("if(ISNUMBER(A86),FILTER(O86:Z86,REGEXMATCH(O86:Z86, ""Not Answered"")=FALSE),)"),"")</f>
        <v/>
      </c>
      <c r="AQ86" s="5" t="str">
        <f>if(ISNUMBER($C86), VLOOKUP(AP86, konsulenter!$A$1:$B99,2,false),)</f>
        <v/>
      </c>
      <c r="AR86" s="10" t="str">
        <f>if(ISNUMBER($A86), VLOOKUP(AA86, mapping!$A$2:$B99,2,false),)</f>
        <v/>
      </c>
      <c r="AS86" s="10" t="str">
        <f t="shared" si="5"/>
        <v/>
      </c>
      <c r="AT86" s="10" t="str">
        <f>if(ISNUMBER($A86), VLOOKUP(AC86, mapping!$A$2:$B99,2,false),)</f>
        <v/>
      </c>
      <c r="AU86" s="10" t="str">
        <f t="shared" si="6"/>
        <v/>
      </c>
      <c r="AV86" s="10" t="str">
        <f>if(ISNUMBER($A86), VLOOKUP(AE86, mapping!$A$2:$B99,2,false),)</f>
        <v/>
      </c>
      <c r="AW86" s="10" t="str">
        <f t="shared" si="7"/>
        <v/>
      </c>
      <c r="AX86" s="10" t="str">
        <f>if(ISNUMBER($A86), VLOOKUP(AG86, mapping!$A$2:$B99,2,false),)</f>
        <v/>
      </c>
      <c r="AY86" s="10" t="str">
        <f t="shared" si="8"/>
        <v/>
      </c>
      <c r="AZ86" s="10" t="str">
        <f>if(ISNUMBER($A86), VLOOKUP(AI86, mapping!$A$2:$B99,2,false),)</f>
        <v/>
      </c>
      <c r="BA86" s="10" t="str">
        <f t="shared" si="9"/>
        <v/>
      </c>
      <c r="BB86" s="10" t="str">
        <f>if(ISNUMBER($A86), VLOOKUP(AK86, mapping!$A$2:$B99,2,false),)</f>
        <v/>
      </c>
      <c r="BC86" s="10" t="str">
        <f t="shared" ref="BC86:BD86" si="93">if(ISNUMBER($A86), IF(AL86="Not Answered","-",AL86),)</f>
        <v/>
      </c>
      <c r="BD86" s="10" t="str">
        <f t="shared" si="93"/>
        <v/>
      </c>
    </row>
    <row r="87">
      <c r="AN87" s="5" t="str">
        <f t="shared" si="3"/>
        <v/>
      </c>
      <c r="AO87" s="5" t="str">
        <f t="shared" si="4"/>
        <v/>
      </c>
      <c r="AP87" s="5" t="str">
        <f>IFERROR(__xludf.DUMMYFUNCTION("if(ISNUMBER(A87),FILTER(O87:Z87,REGEXMATCH(O87:Z87, ""Not Answered"")=FALSE),)"),"")</f>
        <v/>
      </c>
      <c r="AQ87" s="5" t="str">
        <f>if(ISNUMBER($C87), VLOOKUP(AP87, konsulenter!$A$1:$B99,2,false),)</f>
        <v/>
      </c>
      <c r="AR87" s="10" t="str">
        <f>if(ISNUMBER($A87), VLOOKUP(AA87, mapping!$A$2:$B99,2,false),)</f>
        <v/>
      </c>
      <c r="AS87" s="10" t="str">
        <f t="shared" si="5"/>
        <v/>
      </c>
      <c r="AT87" s="10" t="str">
        <f>if(ISNUMBER($A87), VLOOKUP(AC87, mapping!$A$2:$B99,2,false),)</f>
        <v/>
      </c>
      <c r="AU87" s="10" t="str">
        <f t="shared" si="6"/>
        <v/>
      </c>
      <c r="AV87" s="10" t="str">
        <f>if(ISNUMBER($A87), VLOOKUP(AE87, mapping!$A$2:$B99,2,false),)</f>
        <v/>
      </c>
      <c r="AW87" s="10" t="str">
        <f t="shared" si="7"/>
        <v/>
      </c>
      <c r="AX87" s="10" t="str">
        <f>if(ISNUMBER($A87), VLOOKUP(AG87, mapping!$A$2:$B99,2,false),)</f>
        <v/>
      </c>
      <c r="AY87" s="10" t="str">
        <f t="shared" si="8"/>
        <v/>
      </c>
      <c r="AZ87" s="10" t="str">
        <f>if(ISNUMBER($A87), VLOOKUP(AI87, mapping!$A$2:$B99,2,false),)</f>
        <v/>
      </c>
      <c r="BA87" s="10" t="str">
        <f t="shared" si="9"/>
        <v/>
      </c>
      <c r="BB87" s="10" t="str">
        <f>if(ISNUMBER($A87), VLOOKUP(AK87, mapping!$A$2:$B99,2,false),)</f>
        <v/>
      </c>
      <c r="BC87" s="10" t="str">
        <f t="shared" ref="BC87:BD87" si="94">if(ISNUMBER($A87), IF(AL87="Not Answered","-",AL87),)</f>
        <v/>
      </c>
      <c r="BD87" s="10" t="str">
        <f t="shared" si="94"/>
        <v/>
      </c>
    </row>
    <row r="88">
      <c r="AN88" s="5" t="str">
        <f t="shared" si="3"/>
        <v/>
      </c>
      <c r="AO88" s="5" t="str">
        <f t="shared" si="4"/>
        <v/>
      </c>
      <c r="AP88" s="5" t="str">
        <f>IFERROR(__xludf.DUMMYFUNCTION("if(ISNUMBER(A88),FILTER(O88:Z88,REGEXMATCH(O88:Z88, ""Not Answered"")=FALSE),)"),"")</f>
        <v/>
      </c>
      <c r="AQ88" s="5" t="str">
        <f>if(ISNUMBER($C88), VLOOKUP(AP88, konsulenter!$A$1:$B99,2,false),)</f>
        <v/>
      </c>
      <c r="AR88" s="10" t="str">
        <f>if(ISNUMBER($A88), VLOOKUP(AA88, mapping!$A$2:$B99,2,false),)</f>
        <v/>
      </c>
      <c r="AS88" s="10" t="str">
        <f t="shared" si="5"/>
        <v/>
      </c>
      <c r="AT88" s="10" t="str">
        <f>if(ISNUMBER($A88), VLOOKUP(AC88, mapping!$A$2:$B99,2,false),)</f>
        <v/>
      </c>
      <c r="AU88" s="10" t="str">
        <f t="shared" si="6"/>
        <v/>
      </c>
      <c r="AV88" s="10" t="str">
        <f>if(ISNUMBER($A88), VLOOKUP(AE88, mapping!$A$2:$B99,2,false),)</f>
        <v/>
      </c>
      <c r="AW88" s="10" t="str">
        <f t="shared" si="7"/>
        <v/>
      </c>
      <c r="AX88" s="10" t="str">
        <f>if(ISNUMBER($A88), VLOOKUP(AG88, mapping!$A$2:$B99,2,false),)</f>
        <v/>
      </c>
      <c r="AY88" s="10" t="str">
        <f t="shared" si="8"/>
        <v/>
      </c>
      <c r="AZ88" s="10" t="str">
        <f>if(ISNUMBER($A88), VLOOKUP(AI88, mapping!$A$2:$B99,2,false),)</f>
        <v/>
      </c>
      <c r="BA88" s="10" t="str">
        <f t="shared" si="9"/>
        <v/>
      </c>
      <c r="BB88" s="10" t="str">
        <f>if(ISNUMBER($A88), VLOOKUP(AK88, mapping!$A$2:$B99,2,false),)</f>
        <v/>
      </c>
      <c r="BC88" s="10" t="str">
        <f t="shared" ref="BC88:BD88" si="95">if(ISNUMBER($A88), IF(AL88="Not Answered","-",AL88),)</f>
        <v/>
      </c>
      <c r="BD88" s="10" t="str">
        <f t="shared" si="95"/>
        <v/>
      </c>
    </row>
    <row r="89">
      <c r="AN89" s="5" t="str">
        <f t="shared" si="3"/>
        <v/>
      </c>
      <c r="AO89" s="5" t="str">
        <f t="shared" si="4"/>
        <v/>
      </c>
      <c r="AP89" s="5" t="str">
        <f>IFERROR(__xludf.DUMMYFUNCTION("if(ISNUMBER(A89),FILTER(O89:Z89,REGEXMATCH(O89:Z89, ""Not Answered"")=FALSE),)"),"")</f>
        <v/>
      </c>
      <c r="AQ89" s="5" t="str">
        <f>if(ISNUMBER($C89), VLOOKUP(AP89, konsulenter!$A$1:$B99,2,false),)</f>
        <v/>
      </c>
      <c r="AR89" s="10" t="str">
        <f>if(ISNUMBER($A89), VLOOKUP(AA89, mapping!$A$2:$B99,2,false),)</f>
        <v/>
      </c>
      <c r="AS89" s="10" t="str">
        <f t="shared" si="5"/>
        <v/>
      </c>
      <c r="AT89" s="10" t="str">
        <f>if(ISNUMBER($A89), VLOOKUP(AC89, mapping!$A$2:$B99,2,false),)</f>
        <v/>
      </c>
      <c r="AU89" s="10" t="str">
        <f t="shared" si="6"/>
        <v/>
      </c>
      <c r="AV89" s="10" t="str">
        <f>if(ISNUMBER($A89), VLOOKUP(AE89, mapping!$A$2:$B99,2,false),)</f>
        <v/>
      </c>
      <c r="AW89" s="10" t="str">
        <f t="shared" si="7"/>
        <v/>
      </c>
      <c r="AX89" s="10" t="str">
        <f>if(ISNUMBER($A89), VLOOKUP(AG89, mapping!$A$2:$B99,2,false),)</f>
        <v/>
      </c>
      <c r="AY89" s="10" t="str">
        <f t="shared" si="8"/>
        <v/>
      </c>
      <c r="AZ89" s="10" t="str">
        <f>if(ISNUMBER($A89), VLOOKUP(AI89, mapping!$A$2:$B99,2,false),)</f>
        <v/>
      </c>
      <c r="BA89" s="10" t="str">
        <f t="shared" si="9"/>
        <v/>
      </c>
      <c r="BB89" s="10" t="str">
        <f>if(ISNUMBER($A89), VLOOKUP(AK89, mapping!$A$2:$B99,2,false),)</f>
        <v/>
      </c>
      <c r="BC89" s="10" t="str">
        <f t="shared" ref="BC89:BD89" si="96">if(ISNUMBER($A89), IF(AL89="Not Answered","-",AL89),)</f>
        <v/>
      </c>
      <c r="BD89" s="10" t="str">
        <f t="shared" si="96"/>
        <v/>
      </c>
    </row>
    <row r="90">
      <c r="AN90" s="5" t="str">
        <f t="shared" si="3"/>
        <v/>
      </c>
      <c r="AO90" s="5" t="str">
        <f t="shared" si="4"/>
        <v/>
      </c>
      <c r="AP90" s="5" t="str">
        <f>IFERROR(__xludf.DUMMYFUNCTION("if(ISNUMBER(A90),FILTER(O90:Z90,REGEXMATCH(O90:Z90, ""Not Answered"")=FALSE),)"),"")</f>
        <v/>
      </c>
      <c r="AQ90" s="5" t="str">
        <f>if(ISNUMBER($C90), VLOOKUP(AP90, konsulenter!$A$1:$B99,2,false),)</f>
        <v/>
      </c>
      <c r="AR90" s="10" t="str">
        <f>if(ISNUMBER($A90), VLOOKUP(AA90, mapping!$A$2:$B99,2,false),)</f>
        <v/>
      </c>
      <c r="AS90" s="10" t="str">
        <f t="shared" si="5"/>
        <v/>
      </c>
      <c r="AT90" s="10" t="str">
        <f>if(ISNUMBER($A90), VLOOKUP(AC90, mapping!$A$2:$B99,2,false),)</f>
        <v/>
      </c>
      <c r="AU90" s="10" t="str">
        <f t="shared" si="6"/>
        <v/>
      </c>
      <c r="AV90" s="10" t="str">
        <f>if(ISNUMBER($A90), VLOOKUP(AE90, mapping!$A$2:$B99,2,false),)</f>
        <v/>
      </c>
      <c r="AW90" s="10" t="str">
        <f t="shared" si="7"/>
        <v/>
      </c>
      <c r="AX90" s="10" t="str">
        <f>if(ISNUMBER($A90), VLOOKUP(AG90, mapping!$A$2:$B99,2,false),)</f>
        <v/>
      </c>
      <c r="AY90" s="10" t="str">
        <f t="shared" si="8"/>
        <v/>
      </c>
      <c r="AZ90" s="10" t="str">
        <f>if(ISNUMBER($A90), VLOOKUP(AI90, mapping!$A$2:$B99,2,false),)</f>
        <v/>
      </c>
      <c r="BA90" s="10" t="str">
        <f t="shared" si="9"/>
        <v/>
      </c>
      <c r="BB90" s="10" t="str">
        <f>if(ISNUMBER($A90), VLOOKUP(AK90, mapping!$A$2:$B99,2,false),)</f>
        <v/>
      </c>
      <c r="BC90" s="10" t="str">
        <f t="shared" ref="BC90:BD90" si="97">if(ISNUMBER($A90), IF(AL90="Not Answered","-",AL90),)</f>
        <v/>
      </c>
      <c r="BD90" s="10" t="str">
        <f t="shared" si="97"/>
        <v/>
      </c>
    </row>
    <row r="91">
      <c r="AN91" s="5" t="str">
        <f t="shared" si="3"/>
        <v/>
      </c>
      <c r="AO91" s="5" t="str">
        <f t="shared" si="4"/>
        <v/>
      </c>
      <c r="AP91" s="5" t="str">
        <f>IFERROR(__xludf.DUMMYFUNCTION("if(ISNUMBER(A91),FILTER(O91:Z91,REGEXMATCH(O91:Z91, ""Not Answered"")=FALSE),)"),"")</f>
        <v/>
      </c>
      <c r="AQ91" s="5" t="str">
        <f>if(ISNUMBER($C91), VLOOKUP(AP91, konsulenter!$A$1:$B99,2,false),)</f>
        <v/>
      </c>
      <c r="AR91" s="10" t="str">
        <f>if(ISNUMBER($A91), VLOOKUP(AA91, mapping!$A$2:$B99,2,false),)</f>
        <v/>
      </c>
      <c r="AS91" s="10" t="str">
        <f t="shared" si="5"/>
        <v/>
      </c>
      <c r="AT91" s="10" t="str">
        <f>if(ISNUMBER($A91), VLOOKUP(AC91, mapping!$A$2:$B99,2,false),)</f>
        <v/>
      </c>
      <c r="AU91" s="10" t="str">
        <f t="shared" si="6"/>
        <v/>
      </c>
      <c r="AV91" s="10" t="str">
        <f>if(ISNUMBER($A91), VLOOKUP(AE91, mapping!$A$2:$B99,2,false),)</f>
        <v/>
      </c>
      <c r="AW91" s="10" t="str">
        <f t="shared" si="7"/>
        <v/>
      </c>
      <c r="AX91" s="10" t="str">
        <f>if(ISNUMBER($A91), VLOOKUP(AG91, mapping!$A$2:$B99,2,false),)</f>
        <v/>
      </c>
      <c r="AY91" s="10" t="str">
        <f t="shared" si="8"/>
        <v/>
      </c>
      <c r="AZ91" s="10" t="str">
        <f>if(ISNUMBER($A91), VLOOKUP(AI91, mapping!$A$2:$B99,2,false),)</f>
        <v/>
      </c>
      <c r="BA91" s="10" t="str">
        <f t="shared" si="9"/>
        <v/>
      </c>
      <c r="BB91" s="10" t="str">
        <f>if(ISNUMBER($A91), VLOOKUP(AK91, mapping!$A$2:$B99,2,false),)</f>
        <v/>
      </c>
      <c r="BC91" s="10" t="str">
        <f t="shared" ref="BC91:BD91" si="98">if(ISNUMBER($A91), IF(AL91="Not Answered","-",AL91),)</f>
        <v/>
      </c>
      <c r="BD91" s="10" t="str">
        <f t="shared" si="98"/>
        <v/>
      </c>
    </row>
    <row r="92">
      <c r="AN92" s="5" t="str">
        <f t="shared" si="3"/>
        <v/>
      </c>
      <c r="AO92" s="5" t="str">
        <f t="shared" si="4"/>
        <v/>
      </c>
      <c r="AP92" s="5" t="str">
        <f>IFERROR(__xludf.DUMMYFUNCTION("if(ISNUMBER(A92),FILTER(O92:Z92,REGEXMATCH(O92:Z92, ""Not Answered"")=FALSE),)"),"")</f>
        <v/>
      </c>
      <c r="AQ92" s="5" t="str">
        <f>if(ISNUMBER($C92), VLOOKUP(AP92, konsulenter!$A$1:$B99,2,false),)</f>
        <v/>
      </c>
      <c r="AR92" s="10" t="str">
        <f>if(ISNUMBER($A92), VLOOKUP(AA92, mapping!$A$2:$B99,2,false),)</f>
        <v/>
      </c>
      <c r="AS92" s="10" t="str">
        <f t="shared" si="5"/>
        <v/>
      </c>
      <c r="AT92" s="10" t="str">
        <f>if(ISNUMBER($A92), VLOOKUP(AC92, mapping!$A$2:$B99,2,false),)</f>
        <v/>
      </c>
      <c r="AU92" s="10" t="str">
        <f t="shared" si="6"/>
        <v/>
      </c>
      <c r="AV92" s="10" t="str">
        <f>if(ISNUMBER($A92), VLOOKUP(AE92, mapping!$A$2:$B99,2,false),)</f>
        <v/>
      </c>
      <c r="AW92" s="10" t="str">
        <f t="shared" si="7"/>
        <v/>
      </c>
      <c r="AX92" s="10" t="str">
        <f>if(ISNUMBER($A92), VLOOKUP(AG92, mapping!$A$2:$B99,2,false),)</f>
        <v/>
      </c>
      <c r="AY92" s="10" t="str">
        <f t="shared" si="8"/>
        <v/>
      </c>
      <c r="AZ92" s="10" t="str">
        <f>if(ISNUMBER($A92), VLOOKUP(AI92, mapping!$A$2:$B99,2,false),)</f>
        <v/>
      </c>
      <c r="BA92" s="10" t="str">
        <f t="shared" si="9"/>
        <v/>
      </c>
      <c r="BB92" s="10" t="str">
        <f>if(ISNUMBER($A92), VLOOKUP(AK92, mapping!$A$2:$B99,2,false),)</f>
        <v/>
      </c>
      <c r="BC92" s="10" t="str">
        <f t="shared" ref="BC92:BD92" si="99">if(ISNUMBER($A92), IF(AL92="Not Answered","-",AL92),)</f>
        <v/>
      </c>
      <c r="BD92" s="10" t="str">
        <f t="shared" si="99"/>
        <v/>
      </c>
    </row>
    <row r="93">
      <c r="AN93" s="5" t="str">
        <f t="shared" si="3"/>
        <v/>
      </c>
      <c r="AO93" s="5" t="str">
        <f t="shared" si="4"/>
        <v/>
      </c>
      <c r="AP93" s="5" t="str">
        <f>IFERROR(__xludf.DUMMYFUNCTION("if(ISNUMBER(A93),FILTER(O93:Z93,REGEXMATCH(O93:Z93, ""Not Answered"")=FALSE),)"),"")</f>
        <v/>
      </c>
      <c r="AQ93" s="5" t="str">
        <f>if(ISNUMBER($C93), VLOOKUP(AP93, konsulenter!$A$1:$B99,2,false),)</f>
        <v/>
      </c>
      <c r="AR93" s="10" t="str">
        <f>if(ISNUMBER($A93), VLOOKUP(AA93, mapping!$A$2:$B99,2,false),)</f>
        <v/>
      </c>
      <c r="AS93" s="10" t="str">
        <f t="shared" si="5"/>
        <v/>
      </c>
      <c r="AT93" s="10" t="str">
        <f>if(ISNUMBER($A93), VLOOKUP(AC93, mapping!$A$2:$B99,2,false),)</f>
        <v/>
      </c>
      <c r="AU93" s="10" t="str">
        <f t="shared" si="6"/>
        <v/>
      </c>
      <c r="AV93" s="10" t="str">
        <f>if(ISNUMBER($A93), VLOOKUP(AE93, mapping!$A$2:$B99,2,false),)</f>
        <v/>
      </c>
      <c r="AW93" s="10" t="str">
        <f t="shared" si="7"/>
        <v/>
      </c>
      <c r="AX93" s="10" t="str">
        <f>if(ISNUMBER($A93), VLOOKUP(AG93, mapping!$A$2:$B99,2,false),)</f>
        <v/>
      </c>
      <c r="AY93" s="10" t="str">
        <f t="shared" si="8"/>
        <v/>
      </c>
      <c r="AZ93" s="10" t="str">
        <f>if(ISNUMBER($A93), VLOOKUP(AI93, mapping!$A$2:$B99,2,false),)</f>
        <v/>
      </c>
      <c r="BA93" s="10" t="str">
        <f t="shared" si="9"/>
        <v/>
      </c>
      <c r="BB93" s="10" t="str">
        <f>if(ISNUMBER($A93), VLOOKUP(AK93, mapping!$A$2:$B99,2,false),)</f>
        <v/>
      </c>
      <c r="BC93" s="10" t="str">
        <f t="shared" ref="BC93:BD93" si="100">if(ISNUMBER($A93), IF(AL93="Not Answered","-",AL93),)</f>
        <v/>
      </c>
      <c r="BD93" s="10" t="str">
        <f t="shared" si="100"/>
        <v/>
      </c>
    </row>
    <row r="94">
      <c r="AN94" s="5" t="str">
        <f t="shared" si="3"/>
        <v/>
      </c>
      <c r="AO94" s="5" t="str">
        <f t="shared" si="4"/>
        <v/>
      </c>
      <c r="AP94" s="5" t="str">
        <f>IFERROR(__xludf.DUMMYFUNCTION("if(ISNUMBER(A94),FILTER(O94:Z94,REGEXMATCH(O94:Z94, ""Not Answered"")=FALSE),)"),"")</f>
        <v/>
      </c>
      <c r="AQ94" s="5" t="str">
        <f>if(ISNUMBER($C94), VLOOKUP(AP94, konsulenter!$A$1:$B99,2,false),)</f>
        <v/>
      </c>
      <c r="AR94" s="10" t="str">
        <f>if(ISNUMBER($A94), VLOOKUP(AA94, mapping!$A$2:$B99,2,false),)</f>
        <v/>
      </c>
      <c r="AS94" s="10" t="str">
        <f t="shared" si="5"/>
        <v/>
      </c>
      <c r="AT94" s="10" t="str">
        <f>if(ISNUMBER($A94), VLOOKUP(AC94, mapping!$A$2:$B99,2,false),)</f>
        <v/>
      </c>
      <c r="AU94" s="10" t="str">
        <f t="shared" si="6"/>
        <v/>
      </c>
      <c r="AV94" s="10" t="str">
        <f>if(ISNUMBER($A94), VLOOKUP(AE94, mapping!$A$2:$B99,2,false),)</f>
        <v/>
      </c>
      <c r="AW94" s="10" t="str">
        <f t="shared" si="7"/>
        <v/>
      </c>
      <c r="AX94" s="10" t="str">
        <f>if(ISNUMBER($A94), VLOOKUP(AG94, mapping!$A$2:$B99,2,false),)</f>
        <v/>
      </c>
      <c r="AY94" s="10" t="str">
        <f t="shared" si="8"/>
        <v/>
      </c>
      <c r="AZ94" s="10" t="str">
        <f>if(ISNUMBER($A94), VLOOKUP(AI94, mapping!$A$2:$B99,2,false),)</f>
        <v/>
      </c>
      <c r="BA94" s="10" t="str">
        <f t="shared" si="9"/>
        <v/>
      </c>
      <c r="BB94" s="10" t="str">
        <f>if(ISNUMBER($A94), VLOOKUP(AK94, mapping!$A$2:$B99,2,false),)</f>
        <v/>
      </c>
      <c r="BC94" s="10" t="str">
        <f t="shared" ref="BC94:BD94" si="101">if(ISNUMBER($A94), IF(AL94="Not Answered","-",AL94),)</f>
        <v/>
      </c>
      <c r="BD94" s="10" t="str">
        <f t="shared" si="101"/>
        <v/>
      </c>
    </row>
    <row r="95">
      <c r="AN95" s="5" t="str">
        <f t="shared" si="3"/>
        <v/>
      </c>
      <c r="AO95" s="5" t="str">
        <f t="shared" si="4"/>
        <v/>
      </c>
      <c r="AP95" s="5" t="str">
        <f>IFERROR(__xludf.DUMMYFUNCTION("if(ISNUMBER(A95),FILTER(O95:Z95,REGEXMATCH(O95:Z95, ""Not Answered"")=FALSE),)"),"")</f>
        <v/>
      </c>
      <c r="AQ95" s="5" t="str">
        <f>if(ISNUMBER($C95), VLOOKUP(AP95, konsulenter!$A$1:$B99,2,false),)</f>
        <v/>
      </c>
      <c r="AR95" s="10" t="str">
        <f>if(ISNUMBER($A95), VLOOKUP(AA95, mapping!$A$2:$B99,2,false),)</f>
        <v/>
      </c>
      <c r="AS95" s="10" t="str">
        <f t="shared" si="5"/>
        <v/>
      </c>
      <c r="AT95" s="10" t="str">
        <f>if(ISNUMBER($A95), VLOOKUP(AC95, mapping!$A$2:$B99,2,false),)</f>
        <v/>
      </c>
      <c r="AU95" s="10" t="str">
        <f t="shared" si="6"/>
        <v/>
      </c>
      <c r="AV95" s="10" t="str">
        <f>if(ISNUMBER($A95), VLOOKUP(AE95, mapping!$A$2:$B99,2,false),)</f>
        <v/>
      </c>
      <c r="AW95" s="10" t="str">
        <f t="shared" si="7"/>
        <v/>
      </c>
      <c r="AX95" s="10" t="str">
        <f>if(ISNUMBER($A95), VLOOKUP(AG95, mapping!$A$2:$B99,2,false),)</f>
        <v/>
      </c>
      <c r="AY95" s="10" t="str">
        <f t="shared" si="8"/>
        <v/>
      </c>
      <c r="AZ95" s="10" t="str">
        <f>if(ISNUMBER($A95), VLOOKUP(AI95, mapping!$A$2:$B99,2,false),)</f>
        <v/>
      </c>
      <c r="BA95" s="10" t="str">
        <f t="shared" si="9"/>
        <v/>
      </c>
      <c r="BB95" s="10" t="str">
        <f>if(ISNUMBER($A95), VLOOKUP(AK95, mapping!$A$2:$B99,2,false),)</f>
        <v/>
      </c>
      <c r="BC95" s="10" t="str">
        <f t="shared" ref="BC95:BD95" si="102">if(ISNUMBER($A95), IF(AL95="Not Answered","-",AL95),)</f>
        <v/>
      </c>
      <c r="BD95" s="10" t="str">
        <f t="shared" si="102"/>
        <v/>
      </c>
    </row>
    <row r="96">
      <c r="AN96" s="5" t="str">
        <f t="shared" si="3"/>
        <v/>
      </c>
      <c r="AO96" s="5" t="str">
        <f t="shared" si="4"/>
        <v/>
      </c>
      <c r="AP96" s="5" t="str">
        <f>IFERROR(__xludf.DUMMYFUNCTION("if(ISNUMBER(A96),FILTER(O96:Z96,REGEXMATCH(O96:Z96, ""Not Answered"")=FALSE),)"),"")</f>
        <v/>
      </c>
      <c r="AQ96" s="5" t="str">
        <f>if(ISNUMBER($C96), VLOOKUP(AP96, konsulenter!$A$1:$B99,2,false),)</f>
        <v/>
      </c>
      <c r="AR96" s="10" t="str">
        <f>if(ISNUMBER($A96), VLOOKUP(AA96, mapping!$A$2:$B99,2,false),)</f>
        <v/>
      </c>
      <c r="AS96" s="10" t="str">
        <f t="shared" si="5"/>
        <v/>
      </c>
      <c r="AT96" s="10" t="str">
        <f>if(ISNUMBER($A96), VLOOKUP(AC96, mapping!$A$2:$B99,2,false),)</f>
        <v/>
      </c>
      <c r="AU96" s="10" t="str">
        <f t="shared" si="6"/>
        <v/>
      </c>
      <c r="AV96" s="10" t="str">
        <f>if(ISNUMBER($A96), VLOOKUP(AE96, mapping!$A$2:$B99,2,false),)</f>
        <v/>
      </c>
      <c r="AW96" s="10" t="str">
        <f t="shared" si="7"/>
        <v/>
      </c>
      <c r="AX96" s="10" t="str">
        <f>if(ISNUMBER($A96), VLOOKUP(AG96, mapping!$A$2:$B99,2,false),)</f>
        <v/>
      </c>
      <c r="AY96" s="10" t="str">
        <f t="shared" si="8"/>
        <v/>
      </c>
      <c r="AZ96" s="10" t="str">
        <f>if(ISNUMBER($A96), VLOOKUP(AI96, mapping!$A$2:$B99,2,false),)</f>
        <v/>
      </c>
      <c r="BA96" s="10" t="str">
        <f t="shared" si="9"/>
        <v/>
      </c>
      <c r="BB96" s="10" t="str">
        <f>if(ISNUMBER($A96), VLOOKUP(AK96, mapping!$A$2:$B99,2,false),)</f>
        <v/>
      </c>
      <c r="BC96" s="10" t="str">
        <f t="shared" ref="BC96:BD96" si="103">if(ISNUMBER($A96), IF(AL96="Not Answered","-",AL96),)</f>
        <v/>
      </c>
      <c r="BD96" s="10" t="str">
        <f t="shared" si="103"/>
        <v/>
      </c>
    </row>
    <row r="97">
      <c r="AN97" s="5" t="str">
        <f t="shared" si="3"/>
        <v/>
      </c>
      <c r="AO97" s="5" t="str">
        <f t="shared" si="4"/>
        <v/>
      </c>
      <c r="AP97" s="5" t="str">
        <f>IFERROR(__xludf.DUMMYFUNCTION("if(ISNUMBER(A97),FILTER(O97:Z97,REGEXMATCH(O97:Z97, ""Not Answered"")=FALSE),)"),"")</f>
        <v/>
      </c>
      <c r="AQ97" s="5" t="str">
        <f>if(ISNUMBER($C97), VLOOKUP(AP97, konsulenter!$A$1:$B99,2,false),)</f>
        <v/>
      </c>
      <c r="AR97" s="10" t="str">
        <f>if(ISNUMBER($A97), VLOOKUP(AA97, mapping!$A$2:$B99,2,false),)</f>
        <v/>
      </c>
      <c r="AS97" s="10" t="str">
        <f t="shared" si="5"/>
        <v/>
      </c>
      <c r="AT97" s="10" t="str">
        <f>if(ISNUMBER($A97), VLOOKUP(AC97, mapping!$A$2:$B99,2,false),)</f>
        <v/>
      </c>
      <c r="AU97" s="10" t="str">
        <f t="shared" si="6"/>
        <v/>
      </c>
      <c r="AV97" s="10" t="str">
        <f>if(ISNUMBER($A97), VLOOKUP(AE97, mapping!$A$2:$B99,2,false),)</f>
        <v/>
      </c>
      <c r="AW97" s="10" t="str">
        <f t="shared" si="7"/>
        <v/>
      </c>
      <c r="AX97" s="10" t="str">
        <f>if(ISNUMBER($A97), VLOOKUP(AG97, mapping!$A$2:$B99,2,false),)</f>
        <v/>
      </c>
      <c r="AY97" s="10" t="str">
        <f t="shared" si="8"/>
        <v/>
      </c>
      <c r="AZ97" s="10" t="str">
        <f>if(ISNUMBER($A97), VLOOKUP(AI97, mapping!$A$2:$B99,2,false),)</f>
        <v/>
      </c>
      <c r="BA97" s="10" t="str">
        <f t="shared" si="9"/>
        <v/>
      </c>
      <c r="BB97" s="10" t="str">
        <f>if(ISNUMBER($A97), VLOOKUP(AK97, mapping!$A$2:$B99,2,false),)</f>
        <v/>
      </c>
      <c r="BC97" s="10" t="str">
        <f t="shared" ref="BC97:BD97" si="104">if(ISNUMBER($A97), IF(AL97="Not Answered","-",AL97),)</f>
        <v/>
      </c>
      <c r="BD97" s="10" t="str">
        <f t="shared" si="104"/>
        <v/>
      </c>
    </row>
    <row r="98">
      <c r="AN98" s="5" t="str">
        <f t="shared" si="3"/>
        <v/>
      </c>
      <c r="AO98" s="5" t="str">
        <f t="shared" si="4"/>
        <v/>
      </c>
      <c r="AP98" s="5" t="str">
        <f>IFERROR(__xludf.DUMMYFUNCTION("if(ISNUMBER(A98),FILTER(O98:Z98,REGEXMATCH(O98:Z98, ""Not Answered"")=FALSE),)"),"")</f>
        <v/>
      </c>
      <c r="AQ98" s="5" t="str">
        <f>if(ISNUMBER($C98), VLOOKUP(AP98, konsulenter!$A$1:$B99,2,false),)</f>
        <v/>
      </c>
      <c r="AR98" s="10" t="str">
        <f>if(ISNUMBER($A98), VLOOKUP(AA98, mapping!$A$2:$B99,2,false),)</f>
        <v/>
      </c>
      <c r="AS98" s="10" t="str">
        <f t="shared" si="5"/>
        <v/>
      </c>
      <c r="AT98" s="10" t="str">
        <f>if(ISNUMBER($A98), VLOOKUP(AC98, mapping!$A$2:$B99,2,false),)</f>
        <v/>
      </c>
      <c r="AU98" s="10" t="str">
        <f t="shared" si="6"/>
        <v/>
      </c>
      <c r="AV98" s="10" t="str">
        <f>if(ISNUMBER($A98), VLOOKUP(AE98, mapping!$A$2:$B99,2,false),)</f>
        <v/>
      </c>
      <c r="AW98" s="10" t="str">
        <f t="shared" si="7"/>
        <v/>
      </c>
      <c r="AX98" s="10" t="str">
        <f>if(ISNUMBER($A98), VLOOKUP(AG98, mapping!$A$2:$B99,2,false),)</f>
        <v/>
      </c>
      <c r="AY98" s="10" t="str">
        <f t="shared" si="8"/>
        <v/>
      </c>
      <c r="AZ98" s="10" t="str">
        <f>if(ISNUMBER($A98), VLOOKUP(AI98, mapping!$A$2:$B99,2,false),)</f>
        <v/>
      </c>
      <c r="BA98" s="10" t="str">
        <f t="shared" si="9"/>
        <v/>
      </c>
      <c r="BB98" s="10" t="str">
        <f>if(ISNUMBER($A98), VLOOKUP(AK98, mapping!$A$2:$B99,2,false),)</f>
        <v/>
      </c>
      <c r="BC98" s="10" t="str">
        <f t="shared" ref="BC98:BD98" si="105">if(ISNUMBER($A98), IF(AL98="Not Answered","-",AL98),)</f>
        <v/>
      </c>
      <c r="BD98" s="10" t="str">
        <f t="shared" si="105"/>
        <v/>
      </c>
    </row>
    <row r="99">
      <c r="AN99" s="5" t="str">
        <f t="shared" si="3"/>
        <v/>
      </c>
      <c r="AO99" s="5" t="str">
        <f t="shared" si="4"/>
        <v/>
      </c>
      <c r="AP99" s="5" t="str">
        <f>IFERROR(__xludf.DUMMYFUNCTION("if(ISNUMBER(A99),FILTER(O99:Z99,REGEXMATCH(O99:Z99, ""Not Answered"")=FALSE),)"),"")</f>
        <v/>
      </c>
      <c r="AQ99" s="5" t="str">
        <f>if(ISNUMBER($C99), VLOOKUP(AP99, konsulenter!$A$1:$B99,2,false),)</f>
        <v/>
      </c>
      <c r="AR99" s="10" t="str">
        <f>if(ISNUMBER($A99), VLOOKUP(AA99, mapping!$A$2:$B99,2,false),)</f>
        <v/>
      </c>
      <c r="AS99" s="10" t="str">
        <f t="shared" si="5"/>
        <v/>
      </c>
      <c r="AT99" s="10" t="str">
        <f>if(ISNUMBER($A99), VLOOKUP(AC99, mapping!$A$2:$B99,2,false),)</f>
        <v/>
      </c>
      <c r="AU99" s="10" t="str">
        <f t="shared" si="6"/>
        <v/>
      </c>
      <c r="AV99" s="10" t="str">
        <f>if(ISNUMBER($A99), VLOOKUP(AE99, mapping!$A$2:$B99,2,false),)</f>
        <v/>
      </c>
      <c r="AW99" s="10" t="str">
        <f t="shared" si="7"/>
        <v/>
      </c>
      <c r="AX99" s="10" t="str">
        <f>if(ISNUMBER($A99), VLOOKUP(AG99, mapping!$A$2:$B99,2,false),)</f>
        <v/>
      </c>
      <c r="AY99" s="10" t="str">
        <f t="shared" si="8"/>
        <v/>
      </c>
      <c r="AZ99" s="10" t="str">
        <f>if(ISNUMBER($A99), VLOOKUP(AI99, mapping!$A$2:$B99,2,false),)</f>
        <v/>
      </c>
      <c r="BA99" s="10" t="str">
        <f t="shared" si="9"/>
        <v/>
      </c>
      <c r="BB99" s="10" t="str">
        <f>if(ISNUMBER($A99), VLOOKUP(AK99, mapping!$A$2:$B99,2,false),)</f>
        <v/>
      </c>
      <c r="BC99" s="10" t="str">
        <f t="shared" ref="BC99:BD99" si="106">if(ISNUMBER($A99), IF(AL99="Not Answered","-",AL99),)</f>
        <v/>
      </c>
      <c r="BD99" s="10" t="str">
        <f t="shared" si="106"/>
        <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3" max="44" width="17.63"/>
    <col customWidth="1" min="45" max="57" width="18.38"/>
  </cols>
  <sheetData>
    <row r="1">
      <c r="A1" s="2" t="s">
        <v>279</v>
      </c>
      <c r="B1" s="2" t="s">
        <v>280</v>
      </c>
      <c r="C1" s="2" t="s">
        <v>201</v>
      </c>
      <c r="D1" s="2" t="s">
        <v>281</v>
      </c>
      <c r="E1" s="10" t="s">
        <v>14</v>
      </c>
      <c r="F1" s="10" t="s">
        <v>15</v>
      </c>
      <c r="G1" s="10" t="s">
        <v>16</v>
      </c>
      <c r="H1" s="10" t="s">
        <v>17</v>
      </c>
      <c r="I1" s="10" t="s">
        <v>18</v>
      </c>
      <c r="J1" s="10" t="s">
        <v>19</v>
      </c>
      <c r="K1" s="10" t="s">
        <v>20</v>
      </c>
      <c r="L1" s="10" t="s">
        <v>21</v>
      </c>
      <c r="M1" s="10" t="s">
        <v>22</v>
      </c>
      <c r="N1" s="10" t="s">
        <v>23</v>
      </c>
      <c r="O1" s="10" t="s">
        <v>24</v>
      </c>
      <c r="P1" s="10" t="s">
        <v>25</v>
      </c>
      <c r="Q1" s="10" t="s">
        <v>26</v>
      </c>
      <c r="AO1" s="2" t="s">
        <v>279</v>
      </c>
      <c r="AP1" s="2" t="s">
        <v>280</v>
      </c>
      <c r="AQ1" s="2" t="s">
        <v>201</v>
      </c>
      <c r="AR1" s="2" t="s">
        <v>281</v>
      </c>
      <c r="AS1" s="10" t="str">
        <f t="shared" ref="AS1:BE1" si="1">AB1</f>
        <v/>
      </c>
      <c r="AT1" s="10" t="str">
        <f t="shared" si="1"/>
        <v/>
      </c>
      <c r="AU1" s="10" t="str">
        <f t="shared" si="1"/>
        <v/>
      </c>
      <c r="AV1" s="10" t="str">
        <f t="shared" si="1"/>
        <v/>
      </c>
      <c r="AW1" s="10" t="str">
        <f t="shared" si="1"/>
        <v/>
      </c>
      <c r="AX1" s="10" t="str">
        <f t="shared" si="1"/>
        <v/>
      </c>
      <c r="AY1" s="10" t="str">
        <f t="shared" si="1"/>
        <v/>
      </c>
      <c r="AZ1" s="10" t="str">
        <f t="shared" si="1"/>
        <v/>
      </c>
      <c r="BA1" s="10" t="str">
        <f t="shared" si="1"/>
        <v/>
      </c>
      <c r="BB1" s="10" t="str">
        <f t="shared" si="1"/>
        <v/>
      </c>
      <c r="BC1" s="10" t="str">
        <f t="shared" si="1"/>
        <v/>
      </c>
      <c r="BD1" s="10" t="str">
        <f t="shared" si="1"/>
        <v/>
      </c>
      <c r="BE1" s="10" t="str">
        <f t="shared" si="1"/>
        <v/>
      </c>
    </row>
    <row r="2">
      <c r="A2" s="2" t="s">
        <v>284</v>
      </c>
      <c r="B2" s="2" t="s">
        <v>285</v>
      </c>
      <c r="C2" s="2" t="s">
        <v>43</v>
      </c>
      <c r="D2" s="5" t="str">
        <f>if(ISTEXT($C2), VLOOKUP(C2, konsulenter!$A$1:$B99,2,false),)</f>
        <v>#N/A</v>
      </c>
      <c r="E2" s="2">
        <v>4.0</v>
      </c>
      <c r="F2" s="2" t="s">
        <v>286</v>
      </c>
      <c r="G2" s="2">
        <v>5.0</v>
      </c>
      <c r="H2" s="2" t="s">
        <v>287</v>
      </c>
      <c r="I2" s="2">
        <v>4.0</v>
      </c>
      <c r="J2" s="2" t="s">
        <v>288</v>
      </c>
      <c r="K2" s="2">
        <v>3.0</v>
      </c>
      <c r="L2" s="2" t="s">
        <v>289</v>
      </c>
      <c r="O2" s="2">
        <v>3.0</v>
      </c>
      <c r="P2" s="2" t="s">
        <v>290</v>
      </c>
      <c r="AO2" s="5" t="str">
        <f t="shared" ref="AO2:AO99" si="3">if(ISNUMBER(B2),C2,)</f>
        <v/>
      </c>
      <c r="AP2" s="5" t="str">
        <f t="shared" ref="AP2:AP99" si="4">if(ISNUMBER(B2),O2,)</f>
        <v/>
      </c>
      <c r="AQ2" s="5" t="str">
        <f>IFERROR(__xludf.DUMMYFUNCTION("if(ISNUMBER(B2),FILTER(P2:AA2,REGEXMATCH(P2:AA2, ""Not Answered"")=FALSE),)"),"")</f>
        <v/>
      </c>
      <c r="AR2" s="5" t="str">
        <f>if(ISNUMBER($D2), VLOOKUP(AQ2, konsulenter!$A$1:$B99,2,false),)</f>
        <v/>
      </c>
      <c r="AS2" s="10" t="str">
        <f>if(ISNUMBER($B2), VLOOKUP(AB2, mapping!$A$2:$B99,2,false),)</f>
        <v/>
      </c>
      <c r="AT2" s="10" t="str">
        <f t="shared" ref="AT2:AT99" si="5">if(ISNUMBER($B2), IF(AC2="Not Answered","-",AC2),)</f>
        <v/>
      </c>
      <c r="AU2" s="10" t="str">
        <f>if(ISNUMBER($B2), VLOOKUP(AD2, mapping!$A$2:$B99,2,false),)</f>
        <v/>
      </c>
      <c r="AV2" s="10" t="str">
        <f t="shared" ref="AV2:AV99" si="6">if(ISNUMBER($B2), IF(AE2="Not Answered","-",AE2),)</f>
        <v/>
      </c>
      <c r="AW2" s="10" t="str">
        <f>if(ISNUMBER($B2), VLOOKUP(AF2, mapping!$A$2:$B99,2,false),)</f>
        <v/>
      </c>
      <c r="AX2" s="10" t="str">
        <f t="shared" ref="AX2:AX99" si="7">if(ISNUMBER($B2), IF(AG2="Not Answered","-",AG2),)</f>
        <v/>
      </c>
      <c r="AY2" s="10" t="str">
        <f>if(ISNUMBER($B2), VLOOKUP(AH2, mapping!$A$2:$B99,2,false),)</f>
        <v/>
      </c>
      <c r="AZ2" s="10" t="str">
        <f t="shared" ref="AZ2:AZ99" si="8">if(ISNUMBER($B2), IF(AI2="Not Answered","-",AI2),)</f>
        <v/>
      </c>
      <c r="BA2" s="10" t="str">
        <f>if(ISNUMBER($B2), VLOOKUP(AJ2, mapping!$A$2:$B99,2,false),)</f>
        <v/>
      </c>
      <c r="BB2" s="10" t="str">
        <f t="shared" ref="BB2:BB99" si="9">if(ISNUMBER($B2), IF(AK2="Not Answered","-",AK2),)</f>
        <v/>
      </c>
      <c r="BC2" s="10" t="str">
        <f>if(ISNUMBER($B2), VLOOKUP(AL2, mapping!$A$2:$B99,2,false),)</f>
        <v/>
      </c>
      <c r="BD2" s="10" t="str">
        <f t="shared" ref="BD2:BE2" si="2">if(ISNUMBER($B2), IF(AM2="Not Answered","-",AM2),)</f>
        <v/>
      </c>
      <c r="BE2" s="10" t="str">
        <f t="shared" si="2"/>
        <v/>
      </c>
    </row>
    <row r="3">
      <c r="A3" s="2" t="s">
        <v>291</v>
      </c>
      <c r="B3" s="2" t="s">
        <v>254</v>
      </c>
      <c r="C3" s="2" t="s">
        <v>248</v>
      </c>
      <c r="D3" s="5" t="str">
        <f>if(ISTEXT($C3), VLOOKUP(C3, konsulenter!$A$1:$B99,2,false),)</f>
        <v>georg@jpro.no</v>
      </c>
      <c r="E3" s="2">
        <v>5.0</v>
      </c>
      <c r="G3" s="2">
        <v>5.0</v>
      </c>
      <c r="I3" s="2">
        <v>2.0</v>
      </c>
      <c r="AO3" s="5" t="str">
        <f t="shared" si="3"/>
        <v/>
      </c>
      <c r="AP3" s="5" t="str">
        <f t="shared" si="4"/>
        <v/>
      </c>
      <c r="AQ3" s="5" t="str">
        <f>IFERROR(__xludf.DUMMYFUNCTION("if(ISNUMBER(B3),FILTER(P3:AA3,REGEXMATCH(P3:AA3, ""Not Answered"")=FALSE),)"),"")</f>
        <v/>
      </c>
      <c r="AR3" s="5" t="str">
        <f>if(ISNUMBER($D3), VLOOKUP(AQ3, konsulenter!$A$1:$B99,2,false),)</f>
        <v/>
      </c>
      <c r="AS3" s="10" t="str">
        <f>if(ISNUMBER($B3), VLOOKUP(AB3, mapping!$A$2:$B99,2,false),)</f>
        <v/>
      </c>
      <c r="AT3" s="10" t="str">
        <f t="shared" si="5"/>
        <v/>
      </c>
      <c r="AU3" s="10" t="str">
        <f>if(ISNUMBER($B3), VLOOKUP(AD3, mapping!$A$2:$B99,2,false),)</f>
        <v/>
      </c>
      <c r="AV3" s="10" t="str">
        <f t="shared" si="6"/>
        <v/>
      </c>
      <c r="AW3" s="10" t="str">
        <f>if(ISNUMBER($B3), VLOOKUP(AF3, mapping!$A$2:$B99,2,false),)</f>
        <v/>
      </c>
      <c r="AX3" s="10" t="str">
        <f t="shared" si="7"/>
        <v/>
      </c>
      <c r="AY3" s="10" t="str">
        <f>if(ISNUMBER($B3), VLOOKUP(AH3, mapping!$A$2:$B99,2,false),)</f>
        <v/>
      </c>
      <c r="AZ3" s="10" t="str">
        <f t="shared" si="8"/>
        <v/>
      </c>
      <c r="BA3" s="10" t="str">
        <f>if(ISNUMBER($B3), VLOOKUP(AJ3, mapping!$A$2:$B99,2,false),)</f>
        <v/>
      </c>
      <c r="BB3" s="10" t="str">
        <f t="shared" si="9"/>
        <v/>
      </c>
      <c r="BC3" s="10" t="str">
        <f>if(ISNUMBER($B3), VLOOKUP(AL3, mapping!$A$2:$B99,2,false),)</f>
        <v/>
      </c>
      <c r="BD3" s="10" t="str">
        <f t="shared" ref="BD3:BE3" si="10">if(ISNUMBER($B3), IF(AM3="Not Answered","-",AM3),)</f>
        <v/>
      </c>
      <c r="BE3" s="10" t="str">
        <f t="shared" si="10"/>
        <v/>
      </c>
    </row>
    <row r="4">
      <c r="A4" s="12">
        <v>44905.60600694444</v>
      </c>
      <c r="B4" s="2" t="s">
        <v>254</v>
      </c>
      <c r="C4" s="2" t="s">
        <v>255</v>
      </c>
      <c r="D4" s="5" t="str">
        <f>if(ISTEXT($C4), VLOOKUP(C4, konsulenter!$A$1:$B99,2,false),)</f>
        <v>#N/A</v>
      </c>
      <c r="E4" s="2">
        <v>5.0</v>
      </c>
      <c r="G4" s="2">
        <v>5.0</v>
      </c>
      <c r="I4" s="2">
        <v>5.0</v>
      </c>
      <c r="K4" s="2">
        <v>5.0</v>
      </c>
      <c r="O4" s="2">
        <v>5.0</v>
      </c>
      <c r="AO4" s="5" t="str">
        <f t="shared" si="3"/>
        <v/>
      </c>
      <c r="AP4" s="5" t="str">
        <f t="shared" si="4"/>
        <v/>
      </c>
      <c r="AQ4" s="5" t="str">
        <f>IFERROR(__xludf.DUMMYFUNCTION("if(ISNUMBER(B4),FILTER(P4:AA4,REGEXMATCH(P4:AA4, ""Not Answered"")=FALSE),)"),"")</f>
        <v/>
      </c>
      <c r="AR4" s="5" t="str">
        <f>if(ISNUMBER($D4), VLOOKUP(AQ4, konsulenter!$A$1:$B99,2,false),)</f>
        <v/>
      </c>
      <c r="AS4" s="10" t="str">
        <f>if(ISNUMBER($B4), VLOOKUP(AB4, mapping!$A$2:$B99,2,false),)</f>
        <v/>
      </c>
      <c r="AT4" s="10" t="str">
        <f t="shared" si="5"/>
        <v/>
      </c>
      <c r="AU4" s="10" t="str">
        <f>if(ISNUMBER($B4), VLOOKUP(AD4, mapping!$A$2:$B99,2,false),)</f>
        <v/>
      </c>
      <c r="AV4" s="10" t="str">
        <f t="shared" si="6"/>
        <v/>
      </c>
      <c r="AW4" s="10" t="str">
        <f>if(ISNUMBER($B4), VLOOKUP(AF4, mapping!$A$2:$B99,2,false),)</f>
        <v/>
      </c>
      <c r="AX4" s="10" t="str">
        <f t="shared" si="7"/>
        <v/>
      </c>
      <c r="AY4" s="10" t="str">
        <f>if(ISNUMBER($B4), VLOOKUP(AH4, mapping!$A$2:$B99,2,false),)</f>
        <v/>
      </c>
      <c r="AZ4" s="10" t="str">
        <f t="shared" si="8"/>
        <v/>
      </c>
      <c r="BA4" s="10" t="str">
        <f>if(ISNUMBER($B4), VLOOKUP(AJ4, mapping!$A$2:$B99,2,false),)</f>
        <v/>
      </c>
      <c r="BB4" s="10" t="str">
        <f t="shared" si="9"/>
        <v/>
      </c>
      <c r="BC4" s="10" t="str">
        <f>if(ISNUMBER($B4), VLOOKUP(AL4, mapping!$A$2:$B99,2,false),)</f>
        <v/>
      </c>
      <c r="BD4" s="10" t="str">
        <f t="shared" ref="BD4:BE4" si="11">if(ISNUMBER($B4), IF(AM4="Not Answered","-",AM4),)</f>
        <v/>
      </c>
      <c r="BE4" s="10" t="str">
        <f t="shared" si="11"/>
        <v/>
      </c>
    </row>
    <row r="5">
      <c r="A5" s="2" t="s">
        <v>292</v>
      </c>
      <c r="B5" s="2" t="s">
        <v>293</v>
      </c>
      <c r="C5" s="2"/>
      <c r="D5" s="5" t="str">
        <f>if(ISTEXT($C5), VLOOKUP(C5, konsulenter!$A$1:$B99,2,false),)</f>
        <v/>
      </c>
      <c r="E5" s="2">
        <v>5.0</v>
      </c>
      <c r="G5" s="2">
        <v>5.0</v>
      </c>
      <c r="I5" s="2">
        <v>5.0</v>
      </c>
      <c r="K5" s="2">
        <v>5.0</v>
      </c>
      <c r="M5" s="2">
        <v>5.0</v>
      </c>
      <c r="O5" s="2">
        <v>5.0</v>
      </c>
      <c r="Q5" s="2" t="s">
        <v>294</v>
      </c>
      <c r="AO5" s="5" t="str">
        <f t="shared" si="3"/>
        <v/>
      </c>
      <c r="AP5" s="5" t="str">
        <f t="shared" si="4"/>
        <v/>
      </c>
      <c r="AQ5" s="5" t="str">
        <f>IFERROR(__xludf.DUMMYFUNCTION("if(ISNUMBER(B5),FILTER(P5:AA5,REGEXMATCH(P5:AA5, ""Not Answered"")=FALSE),)"),"")</f>
        <v/>
      </c>
      <c r="AR5" s="5" t="str">
        <f>if(ISNUMBER($D5), VLOOKUP(AQ5, konsulenter!$A$1:$B99,2,false),)</f>
        <v/>
      </c>
      <c r="AS5" s="10" t="str">
        <f>if(ISNUMBER($B5), VLOOKUP(AB5, mapping!$A$2:$B99,2,false),)</f>
        <v/>
      </c>
      <c r="AT5" s="10" t="str">
        <f t="shared" si="5"/>
        <v/>
      </c>
      <c r="AU5" s="10" t="str">
        <f>if(ISNUMBER($B5), VLOOKUP(AD5, mapping!$A$2:$B99,2,false),)</f>
        <v/>
      </c>
      <c r="AV5" s="10" t="str">
        <f t="shared" si="6"/>
        <v/>
      </c>
      <c r="AW5" s="10" t="str">
        <f>if(ISNUMBER($B5), VLOOKUP(AF5, mapping!$A$2:$B99,2,false),)</f>
        <v/>
      </c>
      <c r="AX5" s="10" t="str">
        <f t="shared" si="7"/>
        <v/>
      </c>
      <c r="AY5" s="10" t="str">
        <f>if(ISNUMBER($B5), VLOOKUP(AH5, mapping!$A$2:$B99,2,false),)</f>
        <v/>
      </c>
      <c r="AZ5" s="10" t="str">
        <f t="shared" si="8"/>
        <v/>
      </c>
      <c r="BA5" s="10" t="str">
        <f>if(ISNUMBER($B5), VLOOKUP(AJ5, mapping!$A$2:$B99,2,false),)</f>
        <v/>
      </c>
      <c r="BB5" s="10" t="str">
        <f t="shared" si="9"/>
        <v/>
      </c>
      <c r="BC5" s="10" t="str">
        <f>if(ISNUMBER($B5), VLOOKUP(AL5, mapping!$A$2:$B99,2,false),)</f>
        <v/>
      </c>
      <c r="BD5" s="10" t="str">
        <f t="shared" ref="BD5:BE5" si="12">if(ISNUMBER($B5), IF(AM5="Not Answered","-",AM5),)</f>
        <v/>
      </c>
      <c r="BE5" s="10" t="str">
        <f t="shared" si="12"/>
        <v/>
      </c>
    </row>
    <row r="6">
      <c r="A6" s="12">
        <v>44905.65033564815</v>
      </c>
      <c r="B6" s="2" t="s">
        <v>184</v>
      </c>
      <c r="D6" s="5" t="str">
        <f>if(ISTEXT($C6), VLOOKUP(C6, konsulenter!$A$1:$B99,2,false),)</f>
        <v/>
      </c>
      <c r="E6" s="2">
        <v>6.0</v>
      </c>
      <c r="F6" s="2" t="s">
        <v>295</v>
      </c>
      <c r="G6" s="2">
        <v>6.0</v>
      </c>
      <c r="H6" s="2" t="s">
        <v>296</v>
      </c>
      <c r="I6" s="2">
        <v>5.0</v>
      </c>
      <c r="J6" s="2" t="s">
        <v>297</v>
      </c>
      <c r="K6" s="2">
        <v>6.0</v>
      </c>
      <c r="L6" s="2" t="s">
        <v>298</v>
      </c>
      <c r="N6" s="2" t="s">
        <v>299</v>
      </c>
      <c r="O6" s="2">
        <v>5.0</v>
      </c>
      <c r="P6" s="2" t="s">
        <v>300</v>
      </c>
      <c r="Q6" s="2" t="s">
        <v>301</v>
      </c>
      <c r="AO6" s="5" t="str">
        <f t="shared" si="3"/>
        <v/>
      </c>
      <c r="AP6" s="5" t="str">
        <f t="shared" si="4"/>
        <v/>
      </c>
      <c r="AQ6" s="5" t="str">
        <f>IFERROR(__xludf.DUMMYFUNCTION("if(ISNUMBER(B6),FILTER(P6:AA6,REGEXMATCH(P6:AA6, ""Not Answered"")=FALSE),)"),"")</f>
        <v/>
      </c>
      <c r="AR6" s="5" t="str">
        <f>if(ISNUMBER($D6), VLOOKUP(AQ6, konsulenter!$A$1:$B99,2,false),)</f>
        <v/>
      </c>
      <c r="AS6" s="10" t="str">
        <f>if(ISNUMBER($B6), VLOOKUP(AB6, mapping!$A$2:$B99,2,false),)</f>
        <v/>
      </c>
      <c r="AT6" s="10" t="str">
        <f t="shared" si="5"/>
        <v/>
      </c>
      <c r="AU6" s="10" t="str">
        <f>if(ISNUMBER($B6), VLOOKUP(AD6, mapping!$A$2:$B99,2,false),)</f>
        <v/>
      </c>
      <c r="AV6" s="10" t="str">
        <f t="shared" si="6"/>
        <v/>
      </c>
      <c r="AW6" s="10" t="str">
        <f>if(ISNUMBER($B6), VLOOKUP(AF6, mapping!$A$2:$B99,2,false),)</f>
        <v/>
      </c>
      <c r="AX6" s="10" t="str">
        <f t="shared" si="7"/>
        <v/>
      </c>
      <c r="AY6" s="10" t="str">
        <f>if(ISNUMBER($B6), VLOOKUP(AH6, mapping!$A$2:$B99,2,false),)</f>
        <v/>
      </c>
      <c r="AZ6" s="10" t="str">
        <f t="shared" si="8"/>
        <v/>
      </c>
      <c r="BA6" s="10" t="str">
        <f>if(ISNUMBER($B6), VLOOKUP(AJ6, mapping!$A$2:$B99,2,false),)</f>
        <v/>
      </c>
      <c r="BB6" s="10" t="str">
        <f t="shared" si="9"/>
        <v/>
      </c>
      <c r="BC6" s="10" t="str">
        <f>if(ISNUMBER($B6), VLOOKUP(AL6, mapping!$A$2:$B99,2,false),)</f>
        <v/>
      </c>
      <c r="BD6" s="10" t="str">
        <f t="shared" ref="BD6:BE6" si="13">if(ISNUMBER($B6), IF(AM6="Not Answered","-",AM6),)</f>
        <v/>
      </c>
      <c r="BE6" s="10" t="str">
        <f t="shared" si="13"/>
        <v/>
      </c>
    </row>
    <row r="7">
      <c r="A7" s="12">
        <v>44875.531793981485</v>
      </c>
      <c r="B7" s="2" t="s">
        <v>171</v>
      </c>
      <c r="D7" s="5" t="str">
        <f>if(ISTEXT($C7), VLOOKUP(C7, konsulenter!$A$1:$B99,2,false),)</f>
        <v/>
      </c>
      <c r="E7" s="2">
        <v>6.0</v>
      </c>
      <c r="F7" s="2" t="s">
        <v>302</v>
      </c>
      <c r="G7" s="2">
        <v>6.0</v>
      </c>
      <c r="H7" s="2" t="s">
        <v>136</v>
      </c>
      <c r="I7" s="2">
        <v>5.0</v>
      </c>
      <c r="J7" s="2" t="s">
        <v>303</v>
      </c>
      <c r="K7" s="2">
        <v>6.0</v>
      </c>
      <c r="L7" s="2" t="s">
        <v>304</v>
      </c>
      <c r="M7" s="2">
        <v>5.0</v>
      </c>
      <c r="N7" s="2" t="s">
        <v>305</v>
      </c>
      <c r="O7" s="2">
        <v>6.0</v>
      </c>
      <c r="Q7" s="2" t="s">
        <v>306</v>
      </c>
      <c r="AO7" s="5" t="str">
        <f t="shared" si="3"/>
        <v/>
      </c>
      <c r="AP7" s="5" t="str">
        <f t="shared" si="4"/>
        <v/>
      </c>
      <c r="AQ7" s="5" t="str">
        <f>IFERROR(__xludf.DUMMYFUNCTION("if(ISNUMBER(B7),FILTER(P7:AA7,REGEXMATCH(P7:AA7, ""Not Answered"")=FALSE),)"),"")</f>
        <v/>
      </c>
      <c r="AR7" s="5" t="str">
        <f>if(ISNUMBER($D7), VLOOKUP(AQ7, konsulenter!$A$1:$B99,2,false),)</f>
        <v/>
      </c>
      <c r="AS7" s="10" t="str">
        <f>if(ISNUMBER($B7), VLOOKUP(AB7, mapping!$A$2:$B99,2,false),)</f>
        <v/>
      </c>
      <c r="AT7" s="10" t="str">
        <f t="shared" si="5"/>
        <v/>
      </c>
      <c r="AU7" s="10" t="str">
        <f>if(ISNUMBER($B7), VLOOKUP(AD7, mapping!$A$2:$B99,2,false),)</f>
        <v/>
      </c>
      <c r="AV7" s="10" t="str">
        <f t="shared" si="6"/>
        <v/>
      </c>
      <c r="AW7" s="10" t="str">
        <f>if(ISNUMBER($B7), VLOOKUP(AF7, mapping!$A$2:$B99,2,false),)</f>
        <v/>
      </c>
      <c r="AX7" s="10" t="str">
        <f t="shared" si="7"/>
        <v/>
      </c>
      <c r="AY7" s="10" t="str">
        <f>if(ISNUMBER($B7), VLOOKUP(AH7, mapping!$A$2:$B99,2,false),)</f>
        <v/>
      </c>
      <c r="AZ7" s="10" t="str">
        <f t="shared" si="8"/>
        <v/>
      </c>
      <c r="BA7" s="10" t="str">
        <f>if(ISNUMBER($B7), VLOOKUP(AJ7, mapping!$A$2:$B99,2,false),)</f>
        <v/>
      </c>
      <c r="BB7" s="10" t="str">
        <f t="shared" si="9"/>
        <v/>
      </c>
      <c r="BC7" s="10" t="str">
        <f>if(ISNUMBER($B7), VLOOKUP(AL7, mapping!$A$2:$B99,2,false),)</f>
        <v/>
      </c>
      <c r="BD7" s="10" t="str">
        <f t="shared" ref="BD7:BE7" si="14">if(ISNUMBER($B7), IF(AM7="Not Answered","-",AM7),)</f>
        <v/>
      </c>
      <c r="BE7" s="10" t="str">
        <f t="shared" si="14"/>
        <v/>
      </c>
    </row>
    <row r="8">
      <c r="A8" s="12">
        <v>44875.338900462964</v>
      </c>
      <c r="B8" s="2" t="s">
        <v>285</v>
      </c>
      <c r="C8" s="2" t="s">
        <v>104</v>
      </c>
      <c r="D8" s="5" t="str">
        <f>if(ISTEXT($C8), VLOOKUP(C8, konsulenter!$A$1:$B99,2,false),)</f>
        <v>#N/A</v>
      </c>
      <c r="E8" s="2">
        <v>5.0</v>
      </c>
      <c r="F8" s="2" t="s">
        <v>307</v>
      </c>
      <c r="G8" s="2">
        <v>5.0</v>
      </c>
      <c r="H8" s="2" t="s">
        <v>308</v>
      </c>
      <c r="I8" s="2">
        <v>5.0</v>
      </c>
      <c r="J8" s="2" t="s">
        <v>309</v>
      </c>
      <c r="K8" s="2">
        <v>5.0</v>
      </c>
      <c r="M8" s="2">
        <v>3.0</v>
      </c>
      <c r="N8" s="2" t="s">
        <v>310</v>
      </c>
      <c r="O8" s="2">
        <v>5.0</v>
      </c>
      <c r="AO8" s="5" t="str">
        <f t="shared" si="3"/>
        <v/>
      </c>
      <c r="AP8" s="5" t="str">
        <f t="shared" si="4"/>
        <v/>
      </c>
      <c r="AQ8" s="5" t="str">
        <f>IFERROR(__xludf.DUMMYFUNCTION("if(ISNUMBER(B8),FILTER(P8:AA8,REGEXMATCH(P8:AA8, ""Not Answered"")=FALSE),)"),"")</f>
        <v/>
      </c>
      <c r="AR8" s="5" t="str">
        <f>if(ISNUMBER($D8), VLOOKUP(AQ8, konsulenter!$A$1:$B99,2,false),)</f>
        <v/>
      </c>
      <c r="AS8" s="10" t="str">
        <f>if(ISNUMBER($B8), VLOOKUP(AB8, mapping!$A$2:$B99,2,false),)</f>
        <v/>
      </c>
      <c r="AT8" s="10" t="str">
        <f t="shared" si="5"/>
        <v/>
      </c>
      <c r="AU8" s="10" t="str">
        <f>if(ISNUMBER($B8), VLOOKUP(AD8, mapping!$A$2:$B99,2,false),)</f>
        <v/>
      </c>
      <c r="AV8" s="10" t="str">
        <f t="shared" si="6"/>
        <v/>
      </c>
      <c r="AW8" s="10" t="str">
        <f>if(ISNUMBER($B8), VLOOKUP(AF8, mapping!$A$2:$B99,2,false),)</f>
        <v/>
      </c>
      <c r="AX8" s="10" t="str">
        <f t="shared" si="7"/>
        <v/>
      </c>
      <c r="AY8" s="10" t="str">
        <f>if(ISNUMBER($B8), VLOOKUP(AH8, mapping!$A$2:$B99,2,false),)</f>
        <v/>
      </c>
      <c r="AZ8" s="10" t="str">
        <f t="shared" si="8"/>
        <v/>
      </c>
      <c r="BA8" s="10" t="str">
        <f>if(ISNUMBER($B8), VLOOKUP(AJ8, mapping!$A$2:$B99,2,false),)</f>
        <v/>
      </c>
      <c r="BB8" s="10" t="str">
        <f t="shared" si="9"/>
        <v/>
      </c>
      <c r="BC8" s="10" t="str">
        <f>if(ISNUMBER($B8), VLOOKUP(AL8, mapping!$A$2:$B99,2,false),)</f>
        <v/>
      </c>
      <c r="BD8" s="10" t="str">
        <f t="shared" ref="BD8:BE8" si="15">if(ISNUMBER($B8), IF(AM8="Not Answered","-",AM8),)</f>
        <v/>
      </c>
      <c r="BE8" s="10" t="str">
        <f t="shared" si="15"/>
        <v/>
      </c>
    </row>
    <row r="9">
      <c r="A9" s="13">
        <v>44752.39357638889</v>
      </c>
      <c r="B9" s="2" t="s">
        <v>232</v>
      </c>
      <c r="D9" s="5" t="str">
        <f>if(ISTEXT($C9), VLOOKUP(C9, konsulenter!$A$1:$B99,2,false),)</f>
        <v/>
      </c>
      <c r="E9" s="2">
        <v>5.0</v>
      </c>
      <c r="G9" s="2">
        <v>5.0</v>
      </c>
      <c r="I9" s="2">
        <v>6.0</v>
      </c>
      <c r="K9" s="2">
        <v>6.0</v>
      </c>
      <c r="M9" s="2">
        <v>5.0</v>
      </c>
      <c r="O9" s="2">
        <v>4.0</v>
      </c>
      <c r="Q9" s="2" t="s">
        <v>311</v>
      </c>
      <c r="AO9" s="5" t="str">
        <f t="shared" si="3"/>
        <v/>
      </c>
      <c r="AP9" s="5" t="str">
        <f t="shared" si="4"/>
        <v/>
      </c>
      <c r="AQ9" s="5" t="str">
        <f>IFERROR(__xludf.DUMMYFUNCTION("if(ISNUMBER(B9),FILTER(P9:AA9,REGEXMATCH(P9:AA9, ""Not Answered"")=FALSE),)"),"")</f>
        <v/>
      </c>
      <c r="AR9" s="5" t="str">
        <f>if(ISNUMBER($D9), VLOOKUP(AQ9, konsulenter!$A$1:$B99,2,false),)</f>
        <v/>
      </c>
      <c r="AS9" s="10" t="str">
        <f>if(ISNUMBER($B9), VLOOKUP(AB9, mapping!$A$2:$B99,2,false),)</f>
        <v/>
      </c>
      <c r="AT9" s="10" t="str">
        <f t="shared" si="5"/>
        <v/>
      </c>
      <c r="AU9" s="10" t="str">
        <f>if(ISNUMBER($B9), VLOOKUP(AD9, mapping!$A$2:$B99,2,false),)</f>
        <v/>
      </c>
      <c r="AV9" s="10" t="str">
        <f t="shared" si="6"/>
        <v/>
      </c>
      <c r="AW9" s="10" t="str">
        <f>if(ISNUMBER($B9), VLOOKUP(AF9, mapping!$A$2:$B99,2,false),)</f>
        <v/>
      </c>
      <c r="AX9" s="10" t="str">
        <f t="shared" si="7"/>
        <v/>
      </c>
      <c r="AY9" s="10" t="str">
        <f>if(ISNUMBER($B9), VLOOKUP(AH9, mapping!$A$2:$B99,2,false),)</f>
        <v/>
      </c>
      <c r="AZ9" s="10" t="str">
        <f t="shared" si="8"/>
        <v/>
      </c>
      <c r="BA9" s="10" t="str">
        <f>if(ISNUMBER($B9), VLOOKUP(AJ9, mapping!$A$2:$B99,2,false),)</f>
        <v/>
      </c>
      <c r="BB9" s="10" t="str">
        <f t="shared" si="9"/>
        <v/>
      </c>
      <c r="BC9" s="10" t="str">
        <f>if(ISNUMBER($B9), VLOOKUP(AL9, mapping!$A$2:$B99,2,false),)</f>
        <v/>
      </c>
      <c r="BD9" s="10" t="str">
        <f t="shared" ref="BD9:BE9" si="16">if(ISNUMBER($B9), IF(AM9="Not Answered","-",AM9),)</f>
        <v/>
      </c>
      <c r="BE9" s="10" t="str">
        <f t="shared" si="16"/>
        <v/>
      </c>
    </row>
    <row r="10">
      <c r="A10" s="13">
        <v>44661.41744212963</v>
      </c>
      <c r="B10" s="2" t="s">
        <v>203</v>
      </c>
      <c r="C10" s="2" t="s">
        <v>65</v>
      </c>
      <c r="D10" s="5" t="str">
        <f>if(ISTEXT($C10), VLOOKUP(C10, konsulenter!$A$1:$B99,2,false),)</f>
        <v>#N/A</v>
      </c>
      <c r="E10" s="2">
        <v>6.0</v>
      </c>
      <c r="G10" s="2">
        <v>6.0</v>
      </c>
      <c r="I10" s="2">
        <v>6.0</v>
      </c>
      <c r="K10" s="2">
        <v>6.0</v>
      </c>
      <c r="M10" s="2">
        <v>4.0</v>
      </c>
      <c r="N10" s="2" t="s">
        <v>312</v>
      </c>
      <c r="O10" s="2">
        <v>5.0</v>
      </c>
      <c r="P10" s="2" t="s">
        <v>313</v>
      </c>
      <c r="Q10" s="2" t="s">
        <v>122</v>
      </c>
      <c r="AO10" s="5" t="str">
        <f t="shared" si="3"/>
        <v/>
      </c>
      <c r="AP10" s="5" t="str">
        <f t="shared" si="4"/>
        <v/>
      </c>
      <c r="AQ10" s="5" t="str">
        <f>IFERROR(__xludf.DUMMYFUNCTION("if(ISNUMBER(B10),FILTER(P10:AA10,REGEXMATCH(P10:AA10, ""Not Answered"")=FALSE),)"),"")</f>
        <v/>
      </c>
      <c r="AR10" s="5" t="str">
        <f>if(ISNUMBER($D10), VLOOKUP(AQ10, konsulenter!$A$1:$B99,2,false),)</f>
        <v/>
      </c>
      <c r="AS10" s="10" t="str">
        <f>if(ISNUMBER($B10), VLOOKUP(AB10, mapping!$A$2:$B99,2,false),)</f>
        <v/>
      </c>
      <c r="AT10" s="10" t="str">
        <f t="shared" si="5"/>
        <v/>
      </c>
      <c r="AU10" s="10" t="str">
        <f>if(ISNUMBER($B10), VLOOKUP(AD10, mapping!$A$2:$B99,2,false),)</f>
        <v/>
      </c>
      <c r="AV10" s="10" t="str">
        <f t="shared" si="6"/>
        <v/>
      </c>
      <c r="AW10" s="10" t="str">
        <f>if(ISNUMBER($B10), VLOOKUP(AF10, mapping!$A$2:$B99,2,false),)</f>
        <v/>
      </c>
      <c r="AX10" s="10" t="str">
        <f t="shared" si="7"/>
        <v/>
      </c>
      <c r="AY10" s="10" t="str">
        <f>if(ISNUMBER($B10), VLOOKUP(AH10, mapping!$A$2:$B99,2,false),)</f>
        <v/>
      </c>
      <c r="AZ10" s="10" t="str">
        <f t="shared" si="8"/>
        <v/>
      </c>
      <c r="BA10" s="10" t="str">
        <f>if(ISNUMBER($B10), VLOOKUP(AJ10, mapping!$A$2:$B99,2,false),)</f>
        <v/>
      </c>
      <c r="BB10" s="10" t="str">
        <f t="shared" si="9"/>
        <v/>
      </c>
      <c r="BC10" s="10" t="str">
        <f>if(ISNUMBER($B10), VLOOKUP(AL10, mapping!$A$2:$B99,2,false),)</f>
        <v/>
      </c>
      <c r="BD10" s="10" t="str">
        <f t="shared" ref="BD10:BE10" si="17">if(ISNUMBER($B10), IF(AM10="Not Answered","-",AM10),)</f>
        <v/>
      </c>
      <c r="BE10" s="10" t="str">
        <f t="shared" si="17"/>
        <v/>
      </c>
    </row>
    <row r="11">
      <c r="A11" s="13">
        <v>44630.69594907408</v>
      </c>
      <c r="B11" s="2" t="s">
        <v>314</v>
      </c>
      <c r="D11" s="5" t="str">
        <f>if(ISTEXT($C11), VLOOKUP(C11, konsulenter!$A$1:$B99,2,false),)</f>
        <v/>
      </c>
      <c r="E11" s="2">
        <v>6.0</v>
      </c>
      <c r="F11" s="2" t="s">
        <v>315</v>
      </c>
      <c r="G11" s="2">
        <v>6.0</v>
      </c>
      <c r="H11" s="2" t="s">
        <v>316</v>
      </c>
      <c r="I11" s="2">
        <v>6.0</v>
      </c>
      <c r="K11" s="2">
        <v>6.0</v>
      </c>
      <c r="L11" s="2" t="s">
        <v>317</v>
      </c>
      <c r="M11" s="2">
        <v>5.0</v>
      </c>
      <c r="N11" s="2" t="s">
        <v>318</v>
      </c>
      <c r="O11" s="2">
        <v>5.0</v>
      </c>
      <c r="P11" s="2" t="s">
        <v>319</v>
      </c>
      <c r="AO11" s="5" t="str">
        <f t="shared" si="3"/>
        <v/>
      </c>
      <c r="AP11" s="5" t="str">
        <f t="shared" si="4"/>
        <v/>
      </c>
      <c r="AQ11" s="5" t="str">
        <f>IFERROR(__xludf.DUMMYFUNCTION("if(ISNUMBER(B11),FILTER(P11:AA11,REGEXMATCH(P11:AA11, ""Not Answered"")=FALSE),)"),"")</f>
        <v/>
      </c>
      <c r="AR11" s="5" t="str">
        <f>if(ISNUMBER($D11), VLOOKUP(AQ11, konsulenter!$A$1:$B99,2,false),)</f>
        <v/>
      </c>
      <c r="AS11" s="10" t="str">
        <f>if(ISNUMBER($B11), VLOOKUP(AB11, mapping!$A$2:$B99,2,false),)</f>
        <v/>
      </c>
      <c r="AT11" s="10" t="str">
        <f t="shared" si="5"/>
        <v/>
      </c>
      <c r="AU11" s="10" t="str">
        <f>if(ISNUMBER($B11), VLOOKUP(AD11, mapping!$A$2:$B99,2,false),)</f>
        <v/>
      </c>
      <c r="AV11" s="10" t="str">
        <f t="shared" si="6"/>
        <v/>
      </c>
      <c r="AW11" s="10" t="str">
        <f>if(ISNUMBER($B11), VLOOKUP(AF11, mapping!$A$2:$B99,2,false),)</f>
        <v/>
      </c>
      <c r="AX11" s="10" t="str">
        <f t="shared" si="7"/>
        <v/>
      </c>
      <c r="AY11" s="10" t="str">
        <f>if(ISNUMBER($B11), VLOOKUP(AH11, mapping!$A$2:$B99,2,false),)</f>
        <v/>
      </c>
      <c r="AZ11" s="10" t="str">
        <f t="shared" si="8"/>
        <v/>
      </c>
      <c r="BA11" s="10" t="str">
        <f>if(ISNUMBER($B11), VLOOKUP(AJ11, mapping!$A$2:$B99,2,false),)</f>
        <v/>
      </c>
      <c r="BB11" s="10" t="str">
        <f t="shared" si="9"/>
        <v/>
      </c>
      <c r="BC11" s="10" t="str">
        <f>if(ISNUMBER($B11), VLOOKUP(AL11, mapping!$A$2:$B99,2,false),)</f>
        <v/>
      </c>
      <c r="BD11" s="10" t="str">
        <f t="shared" ref="BD11:BE11" si="18">if(ISNUMBER($B11), IF(AM11="Not Answered","-",AM11),)</f>
        <v/>
      </c>
      <c r="BE11" s="10" t="str">
        <f t="shared" si="18"/>
        <v/>
      </c>
    </row>
    <row r="12">
      <c r="A12" s="13">
        <v>44630.32599537037</v>
      </c>
      <c r="B12" s="2" t="s">
        <v>285</v>
      </c>
      <c r="C12" s="2" t="s">
        <v>115</v>
      </c>
      <c r="D12" s="5" t="str">
        <f>if(ISTEXT($C12), VLOOKUP(C12, konsulenter!$A$1:$B99,2,false),)</f>
        <v>#N/A</v>
      </c>
      <c r="E12" s="2">
        <v>6.0</v>
      </c>
      <c r="F12" s="2" t="s">
        <v>320</v>
      </c>
      <c r="G12" s="2">
        <v>6.0</v>
      </c>
      <c r="H12" s="2" t="s">
        <v>321</v>
      </c>
      <c r="I12" s="2">
        <v>6.0</v>
      </c>
      <c r="J12" s="2" t="s">
        <v>322</v>
      </c>
      <c r="K12" s="2">
        <v>6.0</v>
      </c>
      <c r="L12" s="2" t="s">
        <v>323</v>
      </c>
      <c r="M12" s="2">
        <v>4.0</v>
      </c>
      <c r="N12" s="2" t="s">
        <v>324</v>
      </c>
      <c r="O12" s="2">
        <v>6.0</v>
      </c>
      <c r="AO12" s="5" t="str">
        <f t="shared" si="3"/>
        <v/>
      </c>
      <c r="AP12" s="5" t="str">
        <f t="shared" si="4"/>
        <v/>
      </c>
      <c r="AQ12" s="5" t="str">
        <f>IFERROR(__xludf.DUMMYFUNCTION("if(ISNUMBER(B12),FILTER(P12:AA12,REGEXMATCH(P12:AA12, ""Not Answered"")=FALSE),)"),"")</f>
        <v/>
      </c>
      <c r="AR12" s="5" t="str">
        <f>if(ISNUMBER($D12), VLOOKUP(AQ12, konsulenter!$A$1:$B99,2,false),)</f>
        <v/>
      </c>
      <c r="AS12" s="10" t="str">
        <f>if(ISNUMBER($B12), VLOOKUP(AB12, mapping!$A$2:$B99,2,false),)</f>
        <v/>
      </c>
      <c r="AT12" s="10" t="str">
        <f t="shared" si="5"/>
        <v/>
      </c>
      <c r="AU12" s="10" t="str">
        <f>if(ISNUMBER($B12), VLOOKUP(AD12, mapping!$A$2:$B99,2,false),)</f>
        <v/>
      </c>
      <c r="AV12" s="10" t="str">
        <f t="shared" si="6"/>
        <v/>
      </c>
      <c r="AW12" s="10" t="str">
        <f>if(ISNUMBER($B12), VLOOKUP(AF12, mapping!$A$2:$B99,2,false),)</f>
        <v/>
      </c>
      <c r="AX12" s="10" t="str">
        <f t="shared" si="7"/>
        <v/>
      </c>
      <c r="AY12" s="10" t="str">
        <f>if(ISNUMBER($B12), VLOOKUP(AH12, mapping!$A$2:$B99,2,false),)</f>
        <v/>
      </c>
      <c r="AZ12" s="10" t="str">
        <f t="shared" si="8"/>
        <v/>
      </c>
      <c r="BA12" s="10" t="str">
        <f>if(ISNUMBER($B12), VLOOKUP(AJ12, mapping!$A$2:$B99,2,false),)</f>
        <v/>
      </c>
      <c r="BB12" s="10" t="str">
        <f t="shared" si="9"/>
        <v/>
      </c>
      <c r="BC12" s="10" t="str">
        <f>if(ISNUMBER($B12), VLOOKUP(AL12, mapping!$A$2:$B99,2,false),)</f>
        <v/>
      </c>
      <c r="BD12" s="10" t="str">
        <f t="shared" ref="BD12:BE12" si="19">if(ISNUMBER($B12), IF(AM12="Not Answered","-",AM12),)</f>
        <v/>
      </c>
      <c r="BE12" s="10" t="str">
        <f t="shared" si="19"/>
        <v/>
      </c>
    </row>
    <row r="13">
      <c r="A13" s="13">
        <v>44602.89266203704</v>
      </c>
      <c r="B13" s="2" t="s">
        <v>203</v>
      </c>
      <c r="D13" s="5" t="str">
        <f>if(ISTEXT($C13), VLOOKUP(C13, konsulenter!$A$1:$B99,2,false),)</f>
        <v/>
      </c>
      <c r="E13" s="2">
        <v>6.0</v>
      </c>
      <c r="F13" s="2" t="s">
        <v>325</v>
      </c>
      <c r="G13" s="2">
        <v>6.0</v>
      </c>
      <c r="H13" s="2" t="s">
        <v>326</v>
      </c>
      <c r="I13" s="2">
        <v>6.0</v>
      </c>
      <c r="J13" s="2" t="s">
        <v>327</v>
      </c>
      <c r="K13" s="2">
        <v>6.0</v>
      </c>
      <c r="L13" s="2" t="s">
        <v>328</v>
      </c>
      <c r="M13" s="2">
        <v>1.0</v>
      </c>
      <c r="N13" s="2" t="s">
        <v>329</v>
      </c>
      <c r="O13" s="2">
        <v>4.0</v>
      </c>
      <c r="P13" s="2" t="s">
        <v>330</v>
      </c>
      <c r="Q13" s="2" t="s">
        <v>331</v>
      </c>
      <c r="AO13" s="5" t="str">
        <f t="shared" si="3"/>
        <v/>
      </c>
      <c r="AP13" s="5" t="str">
        <f t="shared" si="4"/>
        <v/>
      </c>
      <c r="AQ13" s="5" t="str">
        <f>IFERROR(__xludf.DUMMYFUNCTION("if(ISNUMBER(B13),FILTER(P13:AA13,REGEXMATCH(P13:AA13, ""Not Answered"")=FALSE),)"),"")</f>
        <v/>
      </c>
      <c r="AR13" s="5" t="str">
        <f>if(ISNUMBER($D13), VLOOKUP(AQ13, konsulenter!$A$1:$B99,2,false),)</f>
        <v/>
      </c>
      <c r="AS13" s="10" t="str">
        <f>if(ISNUMBER($B13), VLOOKUP(AB13, mapping!$A$2:$B99,2,false),)</f>
        <v/>
      </c>
      <c r="AT13" s="10" t="str">
        <f t="shared" si="5"/>
        <v/>
      </c>
      <c r="AU13" s="10" t="str">
        <f>if(ISNUMBER($B13), VLOOKUP(AD13, mapping!$A$2:$B99,2,false),)</f>
        <v/>
      </c>
      <c r="AV13" s="10" t="str">
        <f t="shared" si="6"/>
        <v/>
      </c>
      <c r="AW13" s="10" t="str">
        <f>if(ISNUMBER($B13), VLOOKUP(AF13, mapping!$A$2:$B99,2,false),)</f>
        <v/>
      </c>
      <c r="AX13" s="10" t="str">
        <f t="shared" si="7"/>
        <v/>
      </c>
      <c r="AY13" s="10" t="str">
        <f>if(ISNUMBER($B13), VLOOKUP(AH13, mapping!$A$2:$B99,2,false),)</f>
        <v/>
      </c>
      <c r="AZ13" s="10" t="str">
        <f t="shared" si="8"/>
        <v/>
      </c>
      <c r="BA13" s="10" t="str">
        <f>if(ISNUMBER($B13), VLOOKUP(AJ13, mapping!$A$2:$B99,2,false),)</f>
        <v/>
      </c>
      <c r="BB13" s="10" t="str">
        <f t="shared" si="9"/>
        <v/>
      </c>
      <c r="BC13" s="10" t="str">
        <f>if(ISNUMBER($B13), VLOOKUP(AL13, mapping!$A$2:$B99,2,false),)</f>
        <v/>
      </c>
      <c r="BD13" s="10" t="str">
        <f t="shared" ref="BD13:BE13" si="20">if(ISNUMBER($B13), IF(AM13="Not Answered","-",AM13),)</f>
        <v/>
      </c>
      <c r="BE13" s="10" t="str">
        <f t="shared" si="20"/>
        <v/>
      </c>
    </row>
    <row r="14">
      <c r="A14" s="2" t="s">
        <v>332</v>
      </c>
      <c r="B14" s="2" t="s">
        <v>171</v>
      </c>
      <c r="C14" s="2" t="s">
        <v>263</v>
      </c>
      <c r="D14" s="5" t="str">
        <f>if(ISTEXT($C14), VLOOKUP(C14, konsulenter!$A$1:$B99,2,false),)</f>
        <v>hp@jpro.no</v>
      </c>
      <c r="E14" s="2">
        <v>6.0</v>
      </c>
      <c r="G14" s="2">
        <v>6.0</v>
      </c>
      <c r="I14" s="2">
        <v>6.0</v>
      </c>
      <c r="K14" s="2">
        <v>6.0</v>
      </c>
      <c r="M14" s="2">
        <v>6.0</v>
      </c>
      <c r="N14" s="2" t="s">
        <v>333</v>
      </c>
      <c r="O14" s="2">
        <v>5.0</v>
      </c>
      <c r="P14" s="2" t="s">
        <v>334</v>
      </c>
      <c r="AO14" s="5" t="str">
        <f t="shared" si="3"/>
        <v/>
      </c>
      <c r="AP14" s="5" t="str">
        <f t="shared" si="4"/>
        <v/>
      </c>
      <c r="AQ14" s="5" t="str">
        <f>IFERROR(__xludf.DUMMYFUNCTION("if(ISNUMBER(B14),FILTER(P14:AA14,REGEXMATCH(P14:AA14, ""Not Answered"")=FALSE),)"),"")</f>
        <v/>
      </c>
      <c r="AR14" s="5" t="str">
        <f>if(ISNUMBER($D14), VLOOKUP(AQ14, konsulenter!$A$1:$B99,2,false),)</f>
        <v/>
      </c>
      <c r="AS14" s="10" t="str">
        <f>if(ISNUMBER($B14), VLOOKUP(AB14, mapping!$A$2:$B99,2,false),)</f>
        <v/>
      </c>
      <c r="AT14" s="10" t="str">
        <f t="shared" si="5"/>
        <v/>
      </c>
      <c r="AU14" s="10" t="str">
        <f>if(ISNUMBER($B14), VLOOKUP(AD14, mapping!$A$2:$B99,2,false),)</f>
        <v/>
      </c>
      <c r="AV14" s="10" t="str">
        <f t="shared" si="6"/>
        <v/>
      </c>
      <c r="AW14" s="10" t="str">
        <f>if(ISNUMBER($B14), VLOOKUP(AF14, mapping!$A$2:$B99,2,false),)</f>
        <v/>
      </c>
      <c r="AX14" s="10" t="str">
        <f t="shared" si="7"/>
        <v/>
      </c>
      <c r="AY14" s="10" t="str">
        <f>if(ISNUMBER($B14), VLOOKUP(AH14, mapping!$A$2:$B99,2,false),)</f>
        <v/>
      </c>
      <c r="AZ14" s="10" t="str">
        <f t="shared" si="8"/>
        <v/>
      </c>
      <c r="BA14" s="10" t="str">
        <f>if(ISNUMBER($B14), VLOOKUP(AJ14, mapping!$A$2:$B99,2,false),)</f>
        <v/>
      </c>
      <c r="BB14" s="10" t="str">
        <f t="shared" si="9"/>
        <v/>
      </c>
      <c r="BC14" s="10" t="str">
        <f>if(ISNUMBER($B14), VLOOKUP(AL14, mapping!$A$2:$B99,2,false),)</f>
        <v/>
      </c>
      <c r="BD14" s="10" t="str">
        <f t="shared" ref="BD14:BE14" si="21">if(ISNUMBER($B14), IF(AM14="Not Answered","-",AM14),)</f>
        <v/>
      </c>
      <c r="BE14" s="10" t="str">
        <f t="shared" si="21"/>
        <v/>
      </c>
    </row>
    <row r="15">
      <c r="A15" s="2" t="s">
        <v>335</v>
      </c>
      <c r="B15" s="2" t="s">
        <v>171</v>
      </c>
      <c r="C15" s="2" t="s">
        <v>246</v>
      </c>
      <c r="D15" s="5" t="str">
        <f>if(ISTEXT($C15), VLOOKUP(C15, konsulenter!$A$1:$B99,2,false),)</f>
        <v>#N/A</v>
      </c>
      <c r="E15" s="2">
        <v>6.0</v>
      </c>
      <c r="G15" s="2">
        <v>6.0</v>
      </c>
      <c r="I15" s="2">
        <v>5.0</v>
      </c>
      <c r="J15" s="2" t="s">
        <v>336</v>
      </c>
      <c r="K15" s="2">
        <v>6.0</v>
      </c>
      <c r="M15" s="2">
        <v>6.0</v>
      </c>
      <c r="O15" s="2">
        <v>5.0</v>
      </c>
      <c r="Q15" s="2" t="s">
        <v>337</v>
      </c>
      <c r="AO15" s="5" t="str">
        <f t="shared" si="3"/>
        <v/>
      </c>
      <c r="AP15" s="5" t="str">
        <f t="shared" si="4"/>
        <v/>
      </c>
      <c r="AQ15" s="5" t="str">
        <f>IFERROR(__xludf.DUMMYFUNCTION("if(ISNUMBER(B15),FILTER(P15:AA15,REGEXMATCH(P15:AA15, ""Not Answered"")=FALSE),)"),"")</f>
        <v/>
      </c>
      <c r="AR15" s="5" t="str">
        <f>if(ISNUMBER($D15), VLOOKUP(AQ15, konsulenter!$A$1:$B99,2,false),)</f>
        <v/>
      </c>
      <c r="AS15" s="10" t="str">
        <f>if(ISNUMBER($B15), VLOOKUP(AB15, mapping!$A$2:$B99,2,false),)</f>
        <v/>
      </c>
      <c r="AT15" s="10" t="str">
        <f t="shared" si="5"/>
        <v/>
      </c>
      <c r="AU15" s="10" t="str">
        <f>if(ISNUMBER($B15), VLOOKUP(AD15, mapping!$A$2:$B99,2,false),)</f>
        <v/>
      </c>
      <c r="AV15" s="10" t="str">
        <f t="shared" si="6"/>
        <v/>
      </c>
      <c r="AW15" s="10" t="str">
        <f>if(ISNUMBER($B15), VLOOKUP(AF15, mapping!$A$2:$B99,2,false),)</f>
        <v/>
      </c>
      <c r="AX15" s="10" t="str">
        <f t="shared" si="7"/>
        <v/>
      </c>
      <c r="AY15" s="10" t="str">
        <f>if(ISNUMBER($B15), VLOOKUP(AH15, mapping!$A$2:$B99,2,false),)</f>
        <v/>
      </c>
      <c r="AZ15" s="10" t="str">
        <f t="shared" si="8"/>
        <v/>
      </c>
      <c r="BA15" s="10" t="str">
        <f>if(ISNUMBER($B15), VLOOKUP(AJ15, mapping!$A$2:$B99,2,false),)</f>
        <v/>
      </c>
      <c r="BB15" s="10" t="str">
        <f t="shared" si="9"/>
        <v/>
      </c>
      <c r="BC15" s="10" t="str">
        <f>if(ISNUMBER($B15), VLOOKUP(AL15, mapping!$A$2:$B99,2,false),)</f>
        <v/>
      </c>
      <c r="BD15" s="10" t="str">
        <f t="shared" ref="BD15:BE15" si="22">if(ISNUMBER($B15), IF(AM15="Not Answered","-",AM15),)</f>
        <v/>
      </c>
      <c r="BE15" s="10" t="str">
        <f t="shared" si="22"/>
        <v/>
      </c>
    </row>
    <row r="16">
      <c r="A16" s="2" t="s">
        <v>338</v>
      </c>
      <c r="B16" s="2" t="s">
        <v>285</v>
      </c>
      <c r="C16" s="2" t="s">
        <v>209</v>
      </c>
      <c r="D16" s="5" t="str">
        <f>if(ISTEXT($C16), VLOOKUP(C16, konsulenter!$A$1:$B99,2,false),)</f>
        <v>#N/A</v>
      </c>
      <c r="E16" s="2">
        <v>6.0</v>
      </c>
      <c r="F16" s="2" t="s">
        <v>339</v>
      </c>
      <c r="G16" s="2">
        <v>6.0</v>
      </c>
      <c r="I16" s="2">
        <v>6.0</v>
      </c>
      <c r="K16" s="2">
        <v>6.0</v>
      </c>
      <c r="M16" s="2">
        <v>6.0</v>
      </c>
      <c r="O16" s="2">
        <v>6.0</v>
      </c>
      <c r="Q16" s="2" t="s">
        <v>136</v>
      </c>
      <c r="AO16" s="5" t="str">
        <f t="shared" si="3"/>
        <v/>
      </c>
      <c r="AP16" s="5" t="str">
        <f t="shared" si="4"/>
        <v/>
      </c>
      <c r="AQ16" s="5" t="str">
        <f>IFERROR(__xludf.DUMMYFUNCTION("if(ISNUMBER(B16),FILTER(P16:AA16,REGEXMATCH(P16:AA16, ""Not Answered"")=FALSE),)"),"")</f>
        <v/>
      </c>
      <c r="AR16" s="5" t="str">
        <f>if(ISNUMBER($D16), VLOOKUP(AQ16, konsulenter!$A$1:$B99,2,false),)</f>
        <v/>
      </c>
      <c r="AS16" s="10" t="str">
        <f>if(ISNUMBER($B16), VLOOKUP(AB16, mapping!$A$2:$B99,2,false),)</f>
        <v/>
      </c>
      <c r="AT16" s="10" t="str">
        <f t="shared" si="5"/>
        <v/>
      </c>
      <c r="AU16" s="10" t="str">
        <f>if(ISNUMBER($B16), VLOOKUP(AD16, mapping!$A$2:$B99,2,false),)</f>
        <v/>
      </c>
      <c r="AV16" s="10" t="str">
        <f t="shared" si="6"/>
        <v/>
      </c>
      <c r="AW16" s="10" t="str">
        <f>if(ISNUMBER($B16), VLOOKUP(AF16, mapping!$A$2:$B99,2,false),)</f>
        <v/>
      </c>
      <c r="AX16" s="10" t="str">
        <f t="shared" si="7"/>
        <v/>
      </c>
      <c r="AY16" s="10" t="str">
        <f>if(ISNUMBER($B16), VLOOKUP(AH16, mapping!$A$2:$B99,2,false),)</f>
        <v/>
      </c>
      <c r="AZ16" s="10" t="str">
        <f t="shared" si="8"/>
        <v/>
      </c>
      <c r="BA16" s="10" t="str">
        <f>if(ISNUMBER($B16), VLOOKUP(AJ16, mapping!$A$2:$B99,2,false),)</f>
        <v/>
      </c>
      <c r="BB16" s="10" t="str">
        <f t="shared" si="9"/>
        <v/>
      </c>
      <c r="BC16" s="10" t="str">
        <f>if(ISNUMBER($B16), VLOOKUP(AL16, mapping!$A$2:$B99,2,false),)</f>
        <v/>
      </c>
      <c r="BD16" s="10" t="str">
        <f t="shared" ref="BD16:BE16" si="23">if(ISNUMBER($B16), IF(AM16="Not Answered","-",AM16),)</f>
        <v/>
      </c>
      <c r="BE16" s="10" t="str">
        <f t="shared" si="23"/>
        <v/>
      </c>
    </row>
    <row r="17">
      <c r="A17" s="2" t="s">
        <v>340</v>
      </c>
      <c r="B17" s="2" t="s">
        <v>285</v>
      </c>
      <c r="D17" s="5" t="str">
        <f>if(ISTEXT($C17), VLOOKUP(C17, konsulenter!$A$1:$B99,2,false),)</f>
        <v/>
      </c>
      <c r="E17" s="2">
        <v>6.0</v>
      </c>
      <c r="F17" s="2" t="s">
        <v>341</v>
      </c>
      <c r="G17" s="2">
        <v>6.0</v>
      </c>
      <c r="I17" s="2">
        <v>5.0</v>
      </c>
      <c r="K17" s="2">
        <v>6.0</v>
      </c>
      <c r="M17" s="2">
        <v>1.0</v>
      </c>
      <c r="N17" s="2" t="s">
        <v>342</v>
      </c>
      <c r="O17" s="2">
        <v>5.0</v>
      </c>
      <c r="Q17" s="2" t="s">
        <v>139</v>
      </c>
      <c r="AO17" s="5" t="str">
        <f t="shared" si="3"/>
        <v/>
      </c>
      <c r="AP17" s="5" t="str">
        <f t="shared" si="4"/>
        <v/>
      </c>
      <c r="AQ17" s="5" t="str">
        <f>IFERROR(__xludf.DUMMYFUNCTION("if(ISNUMBER(B17),FILTER(P17:AA17,REGEXMATCH(P17:AA17, ""Not Answered"")=FALSE),)"),"")</f>
        <v/>
      </c>
      <c r="AR17" s="5" t="str">
        <f>if(ISNUMBER($D17), VLOOKUP(AQ17, konsulenter!$A$1:$B99,2,false),)</f>
        <v/>
      </c>
      <c r="AS17" s="10" t="str">
        <f>if(ISNUMBER($B17), VLOOKUP(AB17, mapping!$A$2:$B99,2,false),)</f>
        <v/>
      </c>
      <c r="AT17" s="10" t="str">
        <f t="shared" si="5"/>
        <v/>
      </c>
      <c r="AU17" s="10" t="str">
        <f>if(ISNUMBER($B17), VLOOKUP(AD17, mapping!$A$2:$B99,2,false),)</f>
        <v/>
      </c>
      <c r="AV17" s="10" t="str">
        <f t="shared" si="6"/>
        <v/>
      </c>
      <c r="AW17" s="10" t="str">
        <f>if(ISNUMBER($B17), VLOOKUP(AF17, mapping!$A$2:$B99,2,false),)</f>
        <v/>
      </c>
      <c r="AX17" s="10" t="str">
        <f t="shared" si="7"/>
        <v/>
      </c>
      <c r="AY17" s="10" t="str">
        <f>if(ISNUMBER($B17), VLOOKUP(AH17, mapping!$A$2:$B99,2,false),)</f>
        <v/>
      </c>
      <c r="AZ17" s="10" t="str">
        <f t="shared" si="8"/>
        <v/>
      </c>
      <c r="BA17" s="10" t="str">
        <f>if(ISNUMBER($B17), VLOOKUP(AJ17, mapping!$A$2:$B99,2,false),)</f>
        <v/>
      </c>
      <c r="BB17" s="10" t="str">
        <f t="shared" si="9"/>
        <v/>
      </c>
      <c r="BC17" s="10" t="str">
        <f>if(ISNUMBER($B17), VLOOKUP(AL17, mapping!$A$2:$B99,2,false),)</f>
        <v/>
      </c>
      <c r="BD17" s="10" t="str">
        <f t="shared" ref="BD17:BE17" si="24">if(ISNUMBER($B17), IF(AM17="Not Answered","-",AM17),)</f>
        <v/>
      </c>
      <c r="BE17" s="10" t="str">
        <f t="shared" si="24"/>
        <v/>
      </c>
    </row>
    <row r="18">
      <c r="A18" s="2" t="s">
        <v>343</v>
      </c>
      <c r="B18" s="2" t="s">
        <v>285</v>
      </c>
      <c r="C18" s="2" t="s">
        <v>132</v>
      </c>
      <c r="D18" s="5" t="str">
        <f>if(ISTEXT($C18), VLOOKUP(C18, konsulenter!$A$1:$B99,2,false),)</f>
        <v>#N/A</v>
      </c>
      <c r="E18" s="2">
        <v>6.0</v>
      </c>
      <c r="G18" s="2">
        <v>5.0</v>
      </c>
      <c r="H18" s="2" t="s">
        <v>344</v>
      </c>
      <c r="I18" s="2">
        <v>6.0</v>
      </c>
      <c r="K18" s="2">
        <v>6.0</v>
      </c>
      <c r="L18" s="2" t="s">
        <v>345</v>
      </c>
      <c r="M18" s="2">
        <v>1.0</v>
      </c>
      <c r="N18" s="2" t="s">
        <v>346</v>
      </c>
      <c r="O18" s="2">
        <v>3.0</v>
      </c>
      <c r="P18" s="2" t="s">
        <v>347</v>
      </c>
      <c r="AO18" s="5" t="str">
        <f t="shared" si="3"/>
        <v/>
      </c>
      <c r="AP18" s="5" t="str">
        <f t="shared" si="4"/>
        <v/>
      </c>
      <c r="AQ18" s="2" t="s">
        <v>282</v>
      </c>
      <c r="AR18" s="5" t="str">
        <f>if(ISNUMBER($D18), VLOOKUP(AQ18, konsulenter!$A$1:$B99,2,false),)</f>
        <v/>
      </c>
      <c r="AS18" s="10" t="str">
        <f>if(ISNUMBER($B18), VLOOKUP(AB18, mapping!$A$2:$B99,2,false),)</f>
        <v/>
      </c>
      <c r="AT18" s="10" t="str">
        <f t="shared" si="5"/>
        <v/>
      </c>
      <c r="AU18" s="10" t="str">
        <f>if(ISNUMBER($B18), VLOOKUP(AD18, mapping!$A$2:$B99,2,false),)</f>
        <v/>
      </c>
      <c r="AV18" s="10" t="str">
        <f t="shared" si="6"/>
        <v/>
      </c>
      <c r="AW18" s="10" t="str">
        <f>if(ISNUMBER($B18), VLOOKUP(AF18, mapping!$A$2:$B99,2,false),)</f>
        <v/>
      </c>
      <c r="AX18" s="10" t="str">
        <f t="shared" si="7"/>
        <v/>
      </c>
      <c r="AY18" s="10" t="str">
        <f>if(ISNUMBER($B18), VLOOKUP(AH18, mapping!$A$2:$B99,2,false),)</f>
        <v/>
      </c>
      <c r="AZ18" s="10" t="str">
        <f t="shared" si="8"/>
        <v/>
      </c>
      <c r="BA18" s="10" t="str">
        <f>if(ISNUMBER($B18), VLOOKUP(AJ18, mapping!$A$2:$B99,2,false),)</f>
        <v/>
      </c>
      <c r="BB18" s="10" t="str">
        <f t="shared" si="9"/>
        <v/>
      </c>
      <c r="BC18" s="10" t="str">
        <f>if(ISNUMBER($B18), VLOOKUP(AL18, mapping!$A$2:$B99,2,false),)</f>
        <v/>
      </c>
      <c r="BD18" s="10" t="str">
        <f t="shared" ref="BD18:BE18" si="25">if(ISNUMBER($B18), IF(AM18="Not Answered","-",AM18),)</f>
        <v/>
      </c>
      <c r="BE18" s="10" t="str">
        <f t="shared" si="25"/>
        <v/>
      </c>
    </row>
    <row r="19">
      <c r="A19" s="2" t="s">
        <v>348</v>
      </c>
      <c r="B19" s="2" t="s">
        <v>82</v>
      </c>
      <c r="D19" s="5" t="str">
        <f>if(ISTEXT($C19), VLOOKUP(C19, konsulenter!$A$1:$B99,2,false),)</f>
        <v/>
      </c>
      <c r="E19" s="2">
        <v>6.0</v>
      </c>
      <c r="G19" s="2">
        <v>6.0</v>
      </c>
      <c r="I19" s="2">
        <v>5.0</v>
      </c>
      <c r="K19" s="2">
        <v>6.0</v>
      </c>
      <c r="M19" s="2">
        <v>5.0</v>
      </c>
      <c r="O19" s="2">
        <v>5.0</v>
      </c>
      <c r="AO19" s="5" t="str">
        <f t="shared" si="3"/>
        <v/>
      </c>
      <c r="AP19" s="5" t="str">
        <f t="shared" si="4"/>
        <v/>
      </c>
      <c r="AQ19" s="5" t="str">
        <f>IFERROR(__xludf.DUMMYFUNCTION("if(ISNUMBER(B19),FILTER(P19:AA19,REGEXMATCH(P19:AA19, ""Not Answered"")=FALSE),)"),"")</f>
        <v/>
      </c>
      <c r="AR19" s="5" t="str">
        <f>if(ISNUMBER($D19), VLOOKUP(AQ19, konsulenter!$A$1:$B99,2,false),)</f>
        <v/>
      </c>
      <c r="AS19" s="10" t="str">
        <f>if(ISNUMBER($B19), VLOOKUP(AB19, mapping!$A$2:$B99,2,false),)</f>
        <v/>
      </c>
      <c r="AT19" s="10" t="str">
        <f t="shared" si="5"/>
        <v/>
      </c>
      <c r="AU19" s="10" t="str">
        <f>if(ISNUMBER($B19), VLOOKUP(AD19, mapping!$A$2:$B99,2,false),)</f>
        <v/>
      </c>
      <c r="AV19" s="10" t="str">
        <f t="shared" si="6"/>
        <v/>
      </c>
      <c r="AW19" s="10" t="str">
        <f>if(ISNUMBER($B19), VLOOKUP(AF19, mapping!$A$2:$B99,2,false),)</f>
        <v/>
      </c>
      <c r="AX19" s="10" t="str">
        <f t="shared" si="7"/>
        <v/>
      </c>
      <c r="AY19" s="10" t="str">
        <f>if(ISNUMBER($B19), VLOOKUP(AH19, mapping!$A$2:$B99,2,false),)</f>
        <v/>
      </c>
      <c r="AZ19" s="10" t="str">
        <f t="shared" si="8"/>
        <v/>
      </c>
      <c r="BA19" s="10" t="str">
        <f>if(ISNUMBER($B19), VLOOKUP(AJ19, mapping!$A$2:$B99,2,false),)</f>
        <v/>
      </c>
      <c r="BB19" s="10" t="str">
        <f t="shared" si="9"/>
        <v/>
      </c>
      <c r="BC19" s="10" t="str">
        <f>if(ISNUMBER($B19), VLOOKUP(AL19, mapping!$A$2:$B99,2,false),)</f>
        <v/>
      </c>
      <c r="BD19" s="10" t="str">
        <f t="shared" ref="BD19:BE19" si="26">if(ISNUMBER($B19), IF(AM19="Not Answered","-",AM19),)</f>
        <v/>
      </c>
      <c r="BE19" s="10" t="str">
        <f t="shared" si="26"/>
        <v/>
      </c>
    </row>
    <row r="20">
      <c r="A20" s="2" t="s">
        <v>349</v>
      </c>
      <c r="B20" s="2" t="s">
        <v>82</v>
      </c>
      <c r="C20" s="2" t="s">
        <v>219</v>
      </c>
      <c r="D20" s="5" t="str">
        <f>if(ISTEXT($C20), VLOOKUP(C20, konsulenter!$A$1:$B99,2,false),)</f>
        <v>#N/A</v>
      </c>
      <c r="E20" s="2">
        <v>6.0</v>
      </c>
      <c r="F20" s="2" t="s">
        <v>350</v>
      </c>
      <c r="G20" s="2">
        <v>6.0</v>
      </c>
      <c r="I20" s="2">
        <v>6.0</v>
      </c>
      <c r="K20" s="2">
        <v>6.0</v>
      </c>
      <c r="M20" s="2">
        <v>6.0</v>
      </c>
      <c r="O20" s="2">
        <v>6.0</v>
      </c>
      <c r="Q20" s="2" t="s">
        <v>351</v>
      </c>
      <c r="AO20" s="5" t="str">
        <f t="shared" si="3"/>
        <v/>
      </c>
      <c r="AP20" s="5" t="str">
        <f t="shared" si="4"/>
        <v/>
      </c>
      <c r="AQ20" s="5" t="str">
        <f>IFERROR(__xludf.DUMMYFUNCTION("if(ISNUMBER(B20),FILTER(P20:AA20,REGEXMATCH(P20:AA20, ""Not Answered"")=FALSE),)"),"")</f>
        <v/>
      </c>
      <c r="AR20" s="5" t="str">
        <f>if(ISNUMBER($D20), VLOOKUP(AQ20, konsulenter!$A$1:$B99,2,false),)</f>
        <v/>
      </c>
      <c r="AS20" s="10" t="str">
        <f>if(ISNUMBER($B20), VLOOKUP(AB20, mapping!$A$2:$B99,2,false),)</f>
        <v/>
      </c>
      <c r="AT20" s="10" t="str">
        <f t="shared" si="5"/>
        <v/>
      </c>
      <c r="AU20" s="10" t="str">
        <f>if(ISNUMBER($B20), VLOOKUP(AD20, mapping!$A$2:$B99,2,false),)</f>
        <v/>
      </c>
      <c r="AV20" s="10" t="str">
        <f t="shared" si="6"/>
        <v/>
      </c>
      <c r="AW20" s="10" t="str">
        <f>if(ISNUMBER($B20), VLOOKUP(AF20, mapping!$A$2:$B99,2,false),)</f>
        <v/>
      </c>
      <c r="AX20" s="10" t="str">
        <f t="shared" si="7"/>
        <v/>
      </c>
      <c r="AY20" s="10" t="str">
        <f>if(ISNUMBER($B20), VLOOKUP(AH20, mapping!$A$2:$B99,2,false),)</f>
        <v/>
      </c>
      <c r="AZ20" s="10" t="str">
        <f t="shared" si="8"/>
        <v/>
      </c>
      <c r="BA20" s="10" t="str">
        <f>if(ISNUMBER($B20), VLOOKUP(AJ20, mapping!$A$2:$B99,2,false),)</f>
        <v/>
      </c>
      <c r="BB20" s="10" t="str">
        <f t="shared" si="9"/>
        <v/>
      </c>
      <c r="BC20" s="10" t="str">
        <f>if(ISNUMBER($B20), VLOOKUP(AL20, mapping!$A$2:$B99,2,false),)</f>
        <v/>
      </c>
      <c r="BD20" s="10" t="str">
        <f t="shared" ref="BD20:BE20" si="27">if(ISNUMBER($B20), IF(AM20="Not Answered","-",AM20),)</f>
        <v/>
      </c>
      <c r="BE20" s="10" t="str">
        <f t="shared" si="27"/>
        <v/>
      </c>
    </row>
    <row r="21">
      <c r="A21" s="2" t="s">
        <v>352</v>
      </c>
      <c r="B21" s="2" t="s">
        <v>353</v>
      </c>
      <c r="D21" s="5" t="str">
        <f>if(ISTEXT($C21), VLOOKUP(C21, konsulenter!$A$1:$B99,2,false),)</f>
        <v/>
      </c>
      <c r="E21" s="2">
        <v>5.0</v>
      </c>
      <c r="G21" s="2">
        <v>5.0</v>
      </c>
      <c r="H21" s="2" t="s">
        <v>354</v>
      </c>
      <c r="I21" s="2">
        <v>4.0</v>
      </c>
      <c r="J21" s="2" t="s">
        <v>355</v>
      </c>
      <c r="K21" s="2">
        <v>5.0</v>
      </c>
      <c r="L21" s="2" t="s">
        <v>356</v>
      </c>
      <c r="M21" s="2">
        <v>6.0</v>
      </c>
      <c r="N21" s="2" t="s">
        <v>357</v>
      </c>
      <c r="O21" s="2">
        <v>4.0</v>
      </c>
      <c r="P21" s="2" t="s">
        <v>358</v>
      </c>
      <c r="AO21" s="5" t="str">
        <f t="shared" si="3"/>
        <v/>
      </c>
      <c r="AP21" s="5" t="str">
        <f t="shared" si="4"/>
        <v/>
      </c>
      <c r="AQ21" s="2" t="s">
        <v>283</v>
      </c>
      <c r="AR21" s="5" t="str">
        <f>if(ISNUMBER($D21), VLOOKUP(AQ21, konsulenter!$A$1:$B99,2,false),)</f>
        <v/>
      </c>
      <c r="AS21" s="10" t="str">
        <f>if(ISNUMBER($B21), VLOOKUP(AB21, mapping!$A$2:$B99,2,false),)</f>
        <v/>
      </c>
      <c r="AT21" s="10" t="str">
        <f t="shared" si="5"/>
        <v/>
      </c>
      <c r="AU21" s="10" t="str">
        <f>if(ISNUMBER($B21), VLOOKUP(AD21, mapping!$A$2:$B99,2,false),)</f>
        <v/>
      </c>
      <c r="AV21" s="10" t="str">
        <f t="shared" si="6"/>
        <v/>
      </c>
      <c r="AW21" s="10" t="str">
        <f>if(ISNUMBER($B21), VLOOKUP(AF21, mapping!$A$2:$B99,2,false),)</f>
        <v/>
      </c>
      <c r="AX21" s="10" t="str">
        <f t="shared" si="7"/>
        <v/>
      </c>
      <c r="AY21" s="10" t="str">
        <f>if(ISNUMBER($B21), VLOOKUP(AH21, mapping!$A$2:$B99,2,false),)</f>
        <v/>
      </c>
      <c r="AZ21" s="10" t="str">
        <f t="shared" si="8"/>
        <v/>
      </c>
      <c r="BA21" s="10" t="str">
        <f>if(ISNUMBER($B21), VLOOKUP(AJ21, mapping!$A$2:$B99,2,false),)</f>
        <v/>
      </c>
      <c r="BB21" s="10" t="str">
        <f t="shared" si="9"/>
        <v/>
      </c>
      <c r="BC21" s="10" t="str">
        <f>if(ISNUMBER($B21), VLOOKUP(AL21, mapping!$A$2:$B99,2,false),)</f>
        <v/>
      </c>
      <c r="BD21" s="10" t="str">
        <f t="shared" ref="BD21:BE21" si="28">if(ISNUMBER($B21), IF(AM21="Not Answered","-",AM21),)</f>
        <v/>
      </c>
      <c r="BE21" s="10" t="str">
        <f t="shared" si="28"/>
        <v/>
      </c>
    </row>
    <row r="22">
      <c r="A22" s="2" t="s">
        <v>359</v>
      </c>
      <c r="B22" s="2" t="s">
        <v>119</v>
      </c>
      <c r="D22" s="5" t="str">
        <f>if(ISTEXT($C22), VLOOKUP(C22, konsulenter!$A$1:$B99,2,false),)</f>
        <v/>
      </c>
      <c r="E22" s="2">
        <v>6.0</v>
      </c>
      <c r="G22" s="2">
        <v>6.0</v>
      </c>
      <c r="I22" s="2">
        <v>6.0</v>
      </c>
      <c r="K22" s="2">
        <v>6.0</v>
      </c>
      <c r="M22" s="2">
        <v>6.0</v>
      </c>
      <c r="O22" s="2">
        <v>5.0</v>
      </c>
      <c r="AO22" s="5" t="str">
        <f t="shared" si="3"/>
        <v/>
      </c>
      <c r="AP22" s="5" t="str">
        <f t="shared" si="4"/>
        <v/>
      </c>
      <c r="AQ22" s="5" t="str">
        <f>IFERROR(__xludf.DUMMYFUNCTION("if(ISNUMBER(B22),FILTER(P22:AA22,REGEXMATCH(P22:AA22, ""Not Answered"")=FALSE),)"),"")</f>
        <v/>
      </c>
      <c r="AR22" s="5" t="str">
        <f>if(ISNUMBER($D22), VLOOKUP(AQ22, konsulenter!$A$1:$B99,2,false),)</f>
        <v/>
      </c>
      <c r="AS22" s="10" t="str">
        <f>if(ISNUMBER($B22), VLOOKUP(AB22, mapping!$A$2:$B99,2,false),)</f>
        <v/>
      </c>
      <c r="AT22" s="10" t="str">
        <f t="shared" si="5"/>
        <v/>
      </c>
      <c r="AU22" s="10" t="str">
        <f>if(ISNUMBER($B22), VLOOKUP(AD22, mapping!$A$2:$B99,2,false),)</f>
        <v/>
      </c>
      <c r="AV22" s="10" t="str">
        <f t="shared" si="6"/>
        <v/>
      </c>
      <c r="AW22" s="10" t="str">
        <f>if(ISNUMBER($B22), VLOOKUP(AF22, mapping!$A$2:$B99,2,false),)</f>
        <v/>
      </c>
      <c r="AX22" s="10" t="str">
        <f t="shared" si="7"/>
        <v/>
      </c>
      <c r="AY22" s="10" t="str">
        <f>if(ISNUMBER($B22), VLOOKUP(AH22, mapping!$A$2:$B99,2,false),)</f>
        <v/>
      </c>
      <c r="AZ22" s="10" t="str">
        <f t="shared" si="8"/>
        <v/>
      </c>
      <c r="BA22" s="10" t="str">
        <f>if(ISNUMBER($B22), VLOOKUP(AJ22, mapping!$A$2:$B99,2,false),)</f>
        <v/>
      </c>
      <c r="BB22" s="10" t="str">
        <f t="shared" si="9"/>
        <v/>
      </c>
      <c r="BC22" s="10" t="str">
        <f>if(ISNUMBER($B22), VLOOKUP(AL22, mapping!$A$2:$B99,2,false),)</f>
        <v/>
      </c>
      <c r="BD22" s="10" t="str">
        <f t="shared" ref="BD22:BE22" si="29">if(ISNUMBER($B22), IF(AM22="Not Answered","-",AM22),)</f>
        <v/>
      </c>
      <c r="BE22" s="10" t="str">
        <f t="shared" si="29"/>
        <v/>
      </c>
    </row>
    <row r="23">
      <c r="A23" s="2" t="s">
        <v>360</v>
      </c>
      <c r="B23" s="2" t="s">
        <v>314</v>
      </c>
      <c r="C23" s="2" t="s">
        <v>48</v>
      </c>
      <c r="D23" s="5" t="str">
        <f>if(ISTEXT($C23), VLOOKUP(C23, konsulenter!$A$1:$B99,2,false),)</f>
        <v>#N/A</v>
      </c>
      <c r="E23" s="2">
        <v>4.0</v>
      </c>
      <c r="F23" s="2" t="s">
        <v>361</v>
      </c>
      <c r="G23" s="2">
        <v>5.0</v>
      </c>
      <c r="H23" s="2" t="s">
        <v>362</v>
      </c>
      <c r="I23" s="2">
        <v>5.0</v>
      </c>
      <c r="J23" s="2" t="s">
        <v>363</v>
      </c>
      <c r="K23" s="2">
        <v>6.0</v>
      </c>
      <c r="L23" s="2" t="s">
        <v>364</v>
      </c>
      <c r="M23" s="2">
        <v>6.0</v>
      </c>
      <c r="N23" s="2" t="s">
        <v>365</v>
      </c>
      <c r="O23" s="2">
        <v>5.0</v>
      </c>
      <c r="P23" s="2" t="s">
        <v>366</v>
      </c>
      <c r="AO23" s="5" t="str">
        <f t="shared" si="3"/>
        <v/>
      </c>
      <c r="AP23" s="5" t="str">
        <f t="shared" si="4"/>
        <v/>
      </c>
      <c r="AQ23" s="5" t="str">
        <f>IFERROR(__xludf.DUMMYFUNCTION("if(ISNUMBER(B23),FILTER(P23:AA23,REGEXMATCH(P23:AA23, ""Not Answered"")=FALSE),)"),"")</f>
        <v/>
      </c>
      <c r="AR23" s="5" t="str">
        <f>if(ISNUMBER($D23), VLOOKUP(AQ23, konsulenter!$A$1:$B99,2,false),)</f>
        <v/>
      </c>
      <c r="AS23" s="10" t="str">
        <f>if(ISNUMBER($B23), VLOOKUP(AB23, mapping!$A$2:$B99,2,false),)</f>
        <v/>
      </c>
      <c r="AT23" s="10" t="str">
        <f t="shared" si="5"/>
        <v/>
      </c>
      <c r="AU23" s="10" t="str">
        <f>if(ISNUMBER($B23), VLOOKUP(AD23, mapping!$A$2:$B99,2,false),)</f>
        <v/>
      </c>
      <c r="AV23" s="10" t="str">
        <f t="shared" si="6"/>
        <v/>
      </c>
      <c r="AW23" s="10" t="str">
        <f>if(ISNUMBER($B23), VLOOKUP(AF23, mapping!$A$2:$B99,2,false),)</f>
        <v/>
      </c>
      <c r="AX23" s="10" t="str">
        <f t="shared" si="7"/>
        <v/>
      </c>
      <c r="AY23" s="10" t="str">
        <f>if(ISNUMBER($B23), VLOOKUP(AH23, mapping!$A$2:$B99,2,false),)</f>
        <v/>
      </c>
      <c r="AZ23" s="10" t="str">
        <f t="shared" si="8"/>
        <v/>
      </c>
      <c r="BA23" s="10" t="str">
        <f>if(ISNUMBER($B23), VLOOKUP(AJ23, mapping!$A$2:$B99,2,false),)</f>
        <v/>
      </c>
      <c r="BB23" s="10" t="str">
        <f t="shared" si="9"/>
        <v/>
      </c>
      <c r="BC23" s="10" t="str">
        <f>if(ISNUMBER($B23), VLOOKUP(AL23, mapping!$A$2:$B99,2,false),)</f>
        <v/>
      </c>
      <c r="BD23" s="10" t="str">
        <f t="shared" ref="BD23:BE23" si="30">if(ISNUMBER($B23), IF(AM23="Not Answered","-",AM23),)</f>
        <v/>
      </c>
      <c r="BE23" s="10" t="str">
        <f t="shared" si="30"/>
        <v/>
      </c>
    </row>
    <row r="24">
      <c r="AO24" s="5" t="str">
        <f t="shared" si="3"/>
        <v/>
      </c>
      <c r="AP24" s="5" t="str">
        <f t="shared" si="4"/>
        <v/>
      </c>
      <c r="AQ24" s="5" t="str">
        <f>IFERROR(__xludf.DUMMYFUNCTION("if(ISNUMBER(B24),FILTER(P24:AA24,REGEXMATCH(P24:AA24, ""Not Answered"")=FALSE),)"),"")</f>
        <v/>
      </c>
      <c r="AR24" s="5" t="str">
        <f>if(ISNUMBER($D24), VLOOKUP(AQ24, konsulenter!$A$1:$B99,2,false),)</f>
        <v/>
      </c>
      <c r="AS24" s="10" t="str">
        <f>if(ISNUMBER($B24), VLOOKUP(AB24, mapping!$A$2:$B99,2,false),)</f>
        <v/>
      </c>
      <c r="AT24" s="10" t="str">
        <f t="shared" si="5"/>
        <v/>
      </c>
      <c r="AU24" s="10" t="str">
        <f>if(ISNUMBER($B24), VLOOKUP(AD24, mapping!$A$2:$B99,2,false),)</f>
        <v/>
      </c>
      <c r="AV24" s="10" t="str">
        <f t="shared" si="6"/>
        <v/>
      </c>
      <c r="AW24" s="10" t="str">
        <f>if(ISNUMBER($B24), VLOOKUP(AF24, mapping!$A$2:$B99,2,false),)</f>
        <v/>
      </c>
      <c r="AX24" s="10" t="str">
        <f t="shared" si="7"/>
        <v/>
      </c>
      <c r="AY24" s="10" t="str">
        <f>if(ISNUMBER($B24), VLOOKUP(AH24, mapping!$A$2:$B99,2,false),)</f>
        <v/>
      </c>
      <c r="AZ24" s="10" t="str">
        <f t="shared" si="8"/>
        <v/>
      </c>
      <c r="BA24" s="10" t="str">
        <f>if(ISNUMBER($B24), VLOOKUP(AJ24, mapping!$A$2:$B99,2,false),)</f>
        <v/>
      </c>
      <c r="BB24" s="10" t="str">
        <f t="shared" si="9"/>
        <v/>
      </c>
      <c r="BC24" s="10" t="str">
        <f>if(ISNUMBER($B24), VLOOKUP(AL24, mapping!$A$2:$B99,2,false),)</f>
        <v/>
      </c>
      <c r="BD24" s="10" t="str">
        <f t="shared" ref="BD24:BE24" si="31">if(ISNUMBER($B24), IF(AM24="Not Answered","-",AM24),)</f>
        <v/>
      </c>
      <c r="BE24" s="10" t="str">
        <f t="shared" si="31"/>
        <v/>
      </c>
    </row>
    <row r="25">
      <c r="AO25" s="5" t="str">
        <f t="shared" si="3"/>
        <v/>
      </c>
      <c r="AP25" s="5" t="str">
        <f t="shared" si="4"/>
        <v/>
      </c>
      <c r="AQ25" s="5" t="str">
        <f>IFERROR(__xludf.DUMMYFUNCTION("if(ISNUMBER(B25),FILTER(P25:AA25,REGEXMATCH(P25:AA25, ""Not Answered"")=FALSE),)"),"")</f>
        <v/>
      </c>
      <c r="AR25" s="5" t="str">
        <f>if(ISNUMBER($D25), VLOOKUP(AQ25, konsulenter!$A$1:$B99,2,false),)</f>
        <v/>
      </c>
      <c r="AS25" s="10" t="str">
        <f>if(ISNUMBER($B25), VLOOKUP(AB25, mapping!$A$2:$B99,2,false),)</f>
        <v/>
      </c>
      <c r="AT25" s="10" t="str">
        <f t="shared" si="5"/>
        <v/>
      </c>
      <c r="AU25" s="10" t="str">
        <f>if(ISNUMBER($B25), VLOOKUP(AD25, mapping!$A$2:$B99,2,false),)</f>
        <v/>
      </c>
      <c r="AV25" s="10" t="str">
        <f t="shared" si="6"/>
        <v/>
      </c>
      <c r="AW25" s="10" t="str">
        <f>if(ISNUMBER($B25), VLOOKUP(AF25, mapping!$A$2:$B99,2,false),)</f>
        <v/>
      </c>
      <c r="AX25" s="10" t="str">
        <f t="shared" si="7"/>
        <v/>
      </c>
      <c r="AY25" s="10" t="str">
        <f>if(ISNUMBER($B25), VLOOKUP(AH25, mapping!$A$2:$B99,2,false),)</f>
        <v/>
      </c>
      <c r="AZ25" s="10" t="str">
        <f t="shared" si="8"/>
        <v/>
      </c>
      <c r="BA25" s="10" t="str">
        <f>if(ISNUMBER($B25), VLOOKUP(AJ25, mapping!$A$2:$B99,2,false),)</f>
        <v/>
      </c>
      <c r="BB25" s="10" t="str">
        <f t="shared" si="9"/>
        <v/>
      </c>
      <c r="BC25" s="10" t="str">
        <f>if(ISNUMBER($B25), VLOOKUP(AL25, mapping!$A$2:$B99,2,false),)</f>
        <v/>
      </c>
      <c r="BD25" s="10" t="str">
        <f t="shared" ref="BD25:BE25" si="32">if(ISNUMBER($B25), IF(AM25="Not Answered","-",AM25),)</f>
        <v/>
      </c>
      <c r="BE25" s="10" t="str">
        <f t="shared" si="32"/>
        <v/>
      </c>
    </row>
    <row r="26">
      <c r="AO26" s="5" t="str">
        <f t="shared" si="3"/>
        <v/>
      </c>
      <c r="AP26" s="5" t="str">
        <f t="shared" si="4"/>
        <v/>
      </c>
      <c r="AQ26" s="5" t="str">
        <f>IFERROR(__xludf.DUMMYFUNCTION("if(ISNUMBER(B26),FILTER(P26:AA26,REGEXMATCH(P26:AA26, ""Not Answered"")=FALSE),)"),"")</f>
        <v/>
      </c>
      <c r="AR26" s="5" t="str">
        <f>if(ISNUMBER($D26), VLOOKUP(AQ26, konsulenter!$A$1:$B99,2,false),)</f>
        <v/>
      </c>
      <c r="AS26" s="10" t="str">
        <f>if(ISNUMBER($B26), VLOOKUP(AB26, mapping!$A$2:$B99,2,false),)</f>
        <v/>
      </c>
      <c r="AT26" s="10" t="str">
        <f t="shared" si="5"/>
        <v/>
      </c>
      <c r="AU26" s="10" t="str">
        <f>if(ISNUMBER($B26), VLOOKUP(AD26, mapping!$A$2:$B99,2,false),)</f>
        <v/>
      </c>
      <c r="AV26" s="10" t="str">
        <f t="shared" si="6"/>
        <v/>
      </c>
      <c r="AW26" s="10" t="str">
        <f>if(ISNUMBER($B26), VLOOKUP(AF26, mapping!$A$2:$B99,2,false),)</f>
        <v/>
      </c>
      <c r="AX26" s="10" t="str">
        <f t="shared" si="7"/>
        <v/>
      </c>
      <c r="AY26" s="10" t="str">
        <f>if(ISNUMBER($B26), VLOOKUP(AH26, mapping!$A$2:$B99,2,false),)</f>
        <v/>
      </c>
      <c r="AZ26" s="10" t="str">
        <f t="shared" si="8"/>
        <v/>
      </c>
      <c r="BA26" s="10" t="str">
        <f>if(ISNUMBER($B26), VLOOKUP(AJ26, mapping!$A$2:$B99,2,false),)</f>
        <v/>
      </c>
      <c r="BB26" s="10" t="str">
        <f t="shared" si="9"/>
        <v/>
      </c>
      <c r="BC26" s="10" t="str">
        <f>if(ISNUMBER($B26), VLOOKUP(AL26, mapping!$A$2:$B99,2,false),)</f>
        <v/>
      </c>
      <c r="BD26" s="10" t="str">
        <f t="shared" ref="BD26:BE26" si="33">if(ISNUMBER($B26), IF(AM26="Not Answered","-",AM26),)</f>
        <v/>
      </c>
      <c r="BE26" s="10" t="str">
        <f t="shared" si="33"/>
        <v/>
      </c>
    </row>
    <row r="27">
      <c r="AO27" s="5" t="str">
        <f t="shared" si="3"/>
        <v/>
      </c>
      <c r="AP27" s="5" t="str">
        <f t="shared" si="4"/>
        <v/>
      </c>
      <c r="AQ27" s="5" t="str">
        <f>IFERROR(__xludf.DUMMYFUNCTION("if(ISNUMBER(B27),FILTER(P27:AA27,REGEXMATCH(P27:AA27, ""Not Answered"")=FALSE),)"),"")</f>
        <v/>
      </c>
      <c r="AR27" s="5" t="str">
        <f>if(ISNUMBER($D27), VLOOKUP(AQ27, konsulenter!$A$1:$B99,2,false),)</f>
        <v/>
      </c>
      <c r="AS27" s="10" t="str">
        <f>if(ISNUMBER($B27), VLOOKUP(AB27, mapping!$A$2:$B99,2,false),)</f>
        <v/>
      </c>
      <c r="AT27" s="10" t="str">
        <f t="shared" si="5"/>
        <v/>
      </c>
      <c r="AU27" s="10" t="str">
        <f>if(ISNUMBER($B27), VLOOKUP(AD27, mapping!$A$2:$B99,2,false),)</f>
        <v/>
      </c>
      <c r="AV27" s="10" t="str">
        <f t="shared" si="6"/>
        <v/>
      </c>
      <c r="AW27" s="10" t="str">
        <f>if(ISNUMBER($B27), VLOOKUP(AF27, mapping!$A$2:$B99,2,false),)</f>
        <v/>
      </c>
      <c r="AX27" s="10" t="str">
        <f t="shared" si="7"/>
        <v/>
      </c>
      <c r="AY27" s="10" t="str">
        <f>if(ISNUMBER($B27), VLOOKUP(AH27, mapping!$A$2:$B99,2,false),)</f>
        <v/>
      </c>
      <c r="AZ27" s="10" t="str">
        <f t="shared" si="8"/>
        <v/>
      </c>
      <c r="BA27" s="10" t="str">
        <f>if(ISNUMBER($B27), VLOOKUP(AJ27, mapping!$A$2:$B99,2,false),)</f>
        <v/>
      </c>
      <c r="BB27" s="10" t="str">
        <f t="shared" si="9"/>
        <v/>
      </c>
      <c r="BC27" s="10" t="str">
        <f>if(ISNUMBER($B27), VLOOKUP(AL27, mapping!$A$2:$B99,2,false),)</f>
        <v/>
      </c>
      <c r="BD27" s="10" t="str">
        <f t="shared" ref="BD27:BE27" si="34">if(ISNUMBER($B27), IF(AM27="Not Answered","-",AM27),)</f>
        <v/>
      </c>
      <c r="BE27" s="10" t="str">
        <f t="shared" si="34"/>
        <v/>
      </c>
    </row>
    <row r="28">
      <c r="AO28" s="5" t="str">
        <f t="shared" si="3"/>
        <v/>
      </c>
      <c r="AP28" s="5" t="str">
        <f t="shared" si="4"/>
        <v/>
      </c>
      <c r="AQ28" s="5" t="str">
        <f>IFERROR(__xludf.DUMMYFUNCTION("if(ISNUMBER(B28),FILTER(P28:AA28,REGEXMATCH(P28:AA28, ""Not Answered"")=FALSE),)"),"")</f>
        <v/>
      </c>
      <c r="AR28" s="5" t="str">
        <f>if(ISNUMBER($D28), VLOOKUP(AQ28, konsulenter!$A$1:$B99,2,false),)</f>
        <v/>
      </c>
      <c r="AS28" s="10" t="str">
        <f>if(ISNUMBER($B28), VLOOKUP(AB28, mapping!$A$2:$B99,2,false),)</f>
        <v/>
      </c>
      <c r="AT28" s="10" t="str">
        <f t="shared" si="5"/>
        <v/>
      </c>
      <c r="AU28" s="10" t="str">
        <f>if(ISNUMBER($B28), VLOOKUP(AD28, mapping!$A$2:$B99,2,false),)</f>
        <v/>
      </c>
      <c r="AV28" s="10" t="str">
        <f t="shared" si="6"/>
        <v/>
      </c>
      <c r="AW28" s="10" t="str">
        <f>if(ISNUMBER($B28), VLOOKUP(AF28, mapping!$A$2:$B99,2,false),)</f>
        <v/>
      </c>
      <c r="AX28" s="10" t="str">
        <f t="shared" si="7"/>
        <v/>
      </c>
      <c r="AY28" s="10" t="str">
        <f>if(ISNUMBER($B28), VLOOKUP(AH28, mapping!$A$2:$B99,2,false),)</f>
        <v/>
      </c>
      <c r="AZ28" s="10" t="str">
        <f t="shared" si="8"/>
        <v/>
      </c>
      <c r="BA28" s="10" t="str">
        <f>if(ISNUMBER($B28), VLOOKUP(AJ28, mapping!$A$2:$B99,2,false),)</f>
        <v/>
      </c>
      <c r="BB28" s="10" t="str">
        <f t="shared" si="9"/>
        <v/>
      </c>
      <c r="BC28" s="10" t="str">
        <f>if(ISNUMBER($B28), VLOOKUP(AL28, mapping!$A$2:$B99,2,false),)</f>
        <v/>
      </c>
      <c r="BD28" s="10" t="str">
        <f t="shared" ref="BD28:BE28" si="35">if(ISNUMBER($B28), IF(AM28="Not Answered","-",AM28),)</f>
        <v/>
      </c>
      <c r="BE28" s="10" t="str">
        <f t="shared" si="35"/>
        <v/>
      </c>
    </row>
    <row r="29">
      <c r="AO29" s="5" t="str">
        <f t="shared" si="3"/>
        <v/>
      </c>
      <c r="AP29" s="5" t="str">
        <f t="shared" si="4"/>
        <v/>
      </c>
      <c r="AQ29" s="5" t="str">
        <f>IFERROR(__xludf.DUMMYFUNCTION("if(ISNUMBER(B29),FILTER(P29:AA29,REGEXMATCH(P29:AA29, ""Not Answered"")=FALSE),)"),"")</f>
        <v/>
      </c>
      <c r="AR29" s="5" t="str">
        <f>if(ISNUMBER($D29), VLOOKUP(AQ29, konsulenter!$A$1:$B99,2,false),)</f>
        <v/>
      </c>
      <c r="AS29" s="10" t="str">
        <f>if(ISNUMBER($B29), VLOOKUP(AB29, mapping!$A$2:$B99,2,false),)</f>
        <v/>
      </c>
      <c r="AT29" s="10" t="str">
        <f t="shared" si="5"/>
        <v/>
      </c>
      <c r="AU29" s="10" t="str">
        <f>if(ISNUMBER($B29), VLOOKUP(AD29, mapping!$A$2:$B99,2,false),)</f>
        <v/>
      </c>
      <c r="AV29" s="10" t="str">
        <f t="shared" si="6"/>
        <v/>
      </c>
      <c r="AW29" s="10" t="str">
        <f>if(ISNUMBER($B29), VLOOKUP(AF29, mapping!$A$2:$B99,2,false),)</f>
        <v/>
      </c>
      <c r="AX29" s="10" t="str">
        <f t="shared" si="7"/>
        <v/>
      </c>
      <c r="AY29" s="10" t="str">
        <f>if(ISNUMBER($B29), VLOOKUP(AH29, mapping!$A$2:$B99,2,false),)</f>
        <v/>
      </c>
      <c r="AZ29" s="10" t="str">
        <f t="shared" si="8"/>
        <v/>
      </c>
      <c r="BA29" s="10" t="str">
        <f>if(ISNUMBER($B29), VLOOKUP(AJ29, mapping!$A$2:$B99,2,false),)</f>
        <v/>
      </c>
      <c r="BB29" s="10" t="str">
        <f t="shared" si="9"/>
        <v/>
      </c>
      <c r="BC29" s="10" t="str">
        <f>if(ISNUMBER($B29), VLOOKUP(AL29, mapping!$A$2:$B99,2,false),)</f>
        <v/>
      </c>
      <c r="BD29" s="10" t="str">
        <f t="shared" ref="BD29:BE29" si="36">if(ISNUMBER($B29), IF(AM29="Not Answered","-",AM29),)</f>
        <v/>
      </c>
      <c r="BE29" s="10" t="str">
        <f t="shared" si="36"/>
        <v/>
      </c>
    </row>
    <row r="30">
      <c r="AO30" s="5" t="str">
        <f t="shared" si="3"/>
        <v/>
      </c>
      <c r="AP30" s="5" t="str">
        <f t="shared" si="4"/>
        <v/>
      </c>
      <c r="AQ30" s="5" t="str">
        <f>IFERROR(__xludf.DUMMYFUNCTION("if(ISNUMBER(B30),FILTER(P30:AA30,REGEXMATCH(P30:AA30, ""Not Answered"")=FALSE),)"),"")</f>
        <v/>
      </c>
      <c r="AR30" s="5" t="str">
        <f>if(ISNUMBER($D30), VLOOKUP(AQ30, konsulenter!$A$1:$B99,2,false),)</f>
        <v/>
      </c>
      <c r="AS30" s="10" t="str">
        <f>if(ISNUMBER($B30), VLOOKUP(AB30, mapping!$A$2:$B99,2,false),)</f>
        <v/>
      </c>
      <c r="AT30" s="10" t="str">
        <f t="shared" si="5"/>
        <v/>
      </c>
      <c r="AU30" s="10" t="str">
        <f>if(ISNUMBER($B30), VLOOKUP(AD30, mapping!$A$2:$B99,2,false),)</f>
        <v/>
      </c>
      <c r="AV30" s="10" t="str">
        <f t="shared" si="6"/>
        <v/>
      </c>
      <c r="AW30" s="10" t="str">
        <f>if(ISNUMBER($B30), VLOOKUP(AF30, mapping!$A$2:$B99,2,false),)</f>
        <v/>
      </c>
      <c r="AX30" s="10" t="str">
        <f t="shared" si="7"/>
        <v/>
      </c>
      <c r="AY30" s="10" t="str">
        <f>if(ISNUMBER($B30), VLOOKUP(AH30, mapping!$A$2:$B99,2,false),)</f>
        <v/>
      </c>
      <c r="AZ30" s="10" t="str">
        <f t="shared" si="8"/>
        <v/>
      </c>
      <c r="BA30" s="10" t="str">
        <f>if(ISNUMBER($B30), VLOOKUP(AJ30, mapping!$A$2:$B99,2,false),)</f>
        <v/>
      </c>
      <c r="BB30" s="10" t="str">
        <f t="shared" si="9"/>
        <v/>
      </c>
      <c r="BC30" s="10" t="str">
        <f>if(ISNUMBER($B30), VLOOKUP(AL30, mapping!$A$2:$B99,2,false),)</f>
        <v/>
      </c>
      <c r="BD30" s="10" t="str">
        <f t="shared" ref="BD30:BE30" si="37">if(ISNUMBER($B30), IF(AM30="Not Answered","-",AM30),)</f>
        <v/>
      </c>
      <c r="BE30" s="10" t="str">
        <f t="shared" si="37"/>
        <v/>
      </c>
    </row>
    <row r="31">
      <c r="AO31" s="5" t="str">
        <f t="shared" si="3"/>
        <v/>
      </c>
      <c r="AP31" s="5" t="str">
        <f t="shared" si="4"/>
        <v/>
      </c>
      <c r="AQ31" s="5" t="str">
        <f>IFERROR(__xludf.DUMMYFUNCTION("if(ISNUMBER(B31),FILTER(P31:AA31,REGEXMATCH(P31:AA31, ""Not Answered"")=FALSE),)"),"")</f>
        <v/>
      </c>
      <c r="AR31" s="5" t="str">
        <f>if(ISNUMBER($D31), VLOOKUP(AQ31, konsulenter!$A$1:$B99,2,false),)</f>
        <v/>
      </c>
      <c r="AS31" s="10" t="str">
        <f>if(ISNUMBER($B31), VLOOKUP(AB31, mapping!$A$2:$B99,2,false),)</f>
        <v/>
      </c>
      <c r="AT31" s="10" t="str">
        <f t="shared" si="5"/>
        <v/>
      </c>
      <c r="AU31" s="10" t="str">
        <f>if(ISNUMBER($B31), VLOOKUP(AD31, mapping!$A$2:$B99,2,false),)</f>
        <v/>
      </c>
      <c r="AV31" s="10" t="str">
        <f t="shared" si="6"/>
        <v/>
      </c>
      <c r="AW31" s="10" t="str">
        <f>if(ISNUMBER($B31), VLOOKUP(AF31, mapping!$A$2:$B99,2,false),)</f>
        <v/>
      </c>
      <c r="AX31" s="10" t="str">
        <f t="shared" si="7"/>
        <v/>
      </c>
      <c r="AY31" s="10" t="str">
        <f>if(ISNUMBER($B31), VLOOKUP(AH31, mapping!$A$2:$B99,2,false),)</f>
        <v/>
      </c>
      <c r="AZ31" s="10" t="str">
        <f t="shared" si="8"/>
        <v/>
      </c>
      <c r="BA31" s="10" t="str">
        <f>if(ISNUMBER($B31), VLOOKUP(AJ31, mapping!$A$2:$B99,2,false),)</f>
        <v/>
      </c>
      <c r="BB31" s="10" t="str">
        <f t="shared" si="9"/>
        <v/>
      </c>
      <c r="BC31" s="10" t="str">
        <f>if(ISNUMBER($B31), VLOOKUP(AL31, mapping!$A$2:$B99,2,false),)</f>
        <v/>
      </c>
      <c r="BD31" s="10" t="str">
        <f t="shared" ref="BD31:BE31" si="38">if(ISNUMBER($B31), IF(AM31="Not Answered","-",AM31),)</f>
        <v/>
      </c>
      <c r="BE31" s="10" t="str">
        <f t="shared" si="38"/>
        <v/>
      </c>
    </row>
    <row r="32">
      <c r="AO32" s="5" t="str">
        <f t="shared" si="3"/>
        <v/>
      </c>
      <c r="AP32" s="5" t="str">
        <f t="shared" si="4"/>
        <v/>
      </c>
      <c r="AQ32" s="5" t="str">
        <f>IFERROR(__xludf.DUMMYFUNCTION("if(ISNUMBER(B32),FILTER(P32:AA32,REGEXMATCH(P32:AA32, ""Not Answered"")=FALSE),)"),"")</f>
        <v/>
      </c>
      <c r="AR32" s="5" t="str">
        <f>if(ISNUMBER($D32), VLOOKUP(AQ32, konsulenter!$A$1:$B99,2,false),)</f>
        <v/>
      </c>
      <c r="AS32" s="10" t="str">
        <f>if(ISNUMBER($B32), VLOOKUP(AB32, mapping!$A$2:$B99,2,false),)</f>
        <v/>
      </c>
      <c r="AT32" s="10" t="str">
        <f t="shared" si="5"/>
        <v/>
      </c>
      <c r="AU32" s="10" t="str">
        <f>if(ISNUMBER($B32), VLOOKUP(AD32, mapping!$A$2:$B99,2,false),)</f>
        <v/>
      </c>
      <c r="AV32" s="10" t="str">
        <f t="shared" si="6"/>
        <v/>
      </c>
      <c r="AW32" s="10" t="str">
        <f>if(ISNUMBER($B32), VLOOKUP(AF32, mapping!$A$2:$B99,2,false),)</f>
        <v/>
      </c>
      <c r="AX32" s="10" t="str">
        <f t="shared" si="7"/>
        <v/>
      </c>
      <c r="AY32" s="10" t="str">
        <f>if(ISNUMBER($B32), VLOOKUP(AH32, mapping!$A$2:$B99,2,false),)</f>
        <v/>
      </c>
      <c r="AZ32" s="10" t="str">
        <f t="shared" si="8"/>
        <v/>
      </c>
      <c r="BA32" s="10" t="str">
        <f>if(ISNUMBER($B32), VLOOKUP(AJ32, mapping!$A$2:$B99,2,false),)</f>
        <v/>
      </c>
      <c r="BB32" s="10" t="str">
        <f t="shared" si="9"/>
        <v/>
      </c>
      <c r="BC32" s="10" t="str">
        <f>if(ISNUMBER($B32), VLOOKUP(AL32, mapping!$A$2:$B99,2,false),)</f>
        <v/>
      </c>
      <c r="BD32" s="10" t="str">
        <f t="shared" ref="BD32:BE32" si="39">if(ISNUMBER($B32), IF(AM32="Not Answered","-",AM32),)</f>
        <v/>
      </c>
      <c r="BE32" s="10" t="str">
        <f t="shared" si="39"/>
        <v/>
      </c>
    </row>
    <row r="33">
      <c r="AO33" s="5" t="str">
        <f t="shared" si="3"/>
        <v/>
      </c>
      <c r="AP33" s="5" t="str">
        <f t="shared" si="4"/>
        <v/>
      </c>
      <c r="AQ33" s="5" t="str">
        <f>IFERROR(__xludf.DUMMYFUNCTION("if(ISNUMBER(B33),FILTER(P33:AA33,REGEXMATCH(P33:AA33, ""Not Answered"")=FALSE),)"),"")</f>
        <v/>
      </c>
      <c r="AR33" s="5" t="str">
        <f>if(ISNUMBER($D33), VLOOKUP(AQ33, konsulenter!$A$1:$B99,2,false),)</f>
        <v/>
      </c>
      <c r="AS33" s="10" t="str">
        <f>if(ISNUMBER($B33), VLOOKUP(AB33, mapping!$A$2:$B99,2,false),)</f>
        <v/>
      </c>
      <c r="AT33" s="10" t="str">
        <f t="shared" si="5"/>
        <v/>
      </c>
      <c r="AU33" s="10" t="str">
        <f>if(ISNUMBER($B33), VLOOKUP(AD33, mapping!$A$2:$B99,2,false),)</f>
        <v/>
      </c>
      <c r="AV33" s="10" t="str">
        <f t="shared" si="6"/>
        <v/>
      </c>
      <c r="AW33" s="10" t="str">
        <f>if(ISNUMBER($B33), VLOOKUP(AF33, mapping!$A$2:$B99,2,false),)</f>
        <v/>
      </c>
      <c r="AX33" s="10" t="str">
        <f t="shared" si="7"/>
        <v/>
      </c>
      <c r="AY33" s="10" t="str">
        <f>if(ISNUMBER($B33), VLOOKUP(AH33, mapping!$A$2:$B99,2,false),)</f>
        <v/>
      </c>
      <c r="AZ33" s="10" t="str">
        <f t="shared" si="8"/>
        <v/>
      </c>
      <c r="BA33" s="10" t="str">
        <f>if(ISNUMBER($B33), VLOOKUP(AJ33, mapping!$A$2:$B99,2,false),)</f>
        <v/>
      </c>
      <c r="BB33" s="10" t="str">
        <f t="shared" si="9"/>
        <v/>
      </c>
      <c r="BC33" s="10" t="str">
        <f>if(ISNUMBER($B33), VLOOKUP(AL33, mapping!$A$2:$B99,2,false),)</f>
        <v/>
      </c>
      <c r="BD33" s="10" t="str">
        <f t="shared" ref="BD33:BE33" si="40">if(ISNUMBER($B33), IF(AM33="Not Answered","-",AM33),)</f>
        <v/>
      </c>
      <c r="BE33" s="10" t="str">
        <f t="shared" si="40"/>
        <v/>
      </c>
    </row>
    <row r="34">
      <c r="AO34" s="5" t="str">
        <f t="shared" si="3"/>
        <v/>
      </c>
      <c r="AP34" s="5" t="str">
        <f t="shared" si="4"/>
        <v/>
      </c>
      <c r="AQ34" s="5" t="str">
        <f>IFERROR(__xludf.DUMMYFUNCTION("if(ISNUMBER(B34),FILTER(P34:AA34,REGEXMATCH(P34:AA34, ""Not Answered"")=FALSE),)"),"")</f>
        <v/>
      </c>
      <c r="AR34" s="5" t="str">
        <f>if(ISNUMBER($D34), VLOOKUP(AQ34, konsulenter!$A$1:$B99,2,false),)</f>
        <v/>
      </c>
      <c r="AS34" s="10" t="str">
        <f>if(ISNUMBER($B34), VLOOKUP(AB34, mapping!$A$2:$B99,2,false),)</f>
        <v/>
      </c>
      <c r="AT34" s="10" t="str">
        <f t="shared" si="5"/>
        <v/>
      </c>
      <c r="AU34" s="10" t="str">
        <f>if(ISNUMBER($B34), VLOOKUP(AD34, mapping!$A$2:$B99,2,false),)</f>
        <v/>
      </c>
      <c r="AV34" s="10" t="str">
        <f t="shared" si="6"/>
        <v/>
      </c>
      <c r="AW34" s="10" t="str">
        <f>if(ISNUMBER($B34), VLOOKUP(AF34, mapping!$A$2:$B99,2,false),)</f>
        <v/>
      </c>
      <c r="AX34" s="10" t="str">
        <f t="shared" si="7"/>
        <v/>
      </c>
      <c r="AY34" s="10" t="str">
        <f>if(ISNUMBER($B34), VLOOKUP(AH34, mapping!$A$2:$B99,2,false),)</f>
        <v/>
      </c>
      <c r="AZ34" s="10" t="str">
        <f t="shared" si="8"/>
        <v/>
      </c>
      <c r="BA34" s="10" t="str">
        <f>if(ISNUMBER($B34), VLOOKUP(AJ34, mapping!$A$2:$B99,2,false),)</f>
        <v/>
      </c>
      <c r="BB34" s="10" t="str">
        <f t="shared" si="9"/>
        <v/>
      </c>
      <c r="BC34" s="10" t="str">
        <f>if(ISNUMBER($B34), VLOOKUP(AL34, mapping!$A$2:$B99,2,false),)</f>
        <v/>
      </c>
      <c r="BD34" s="10" t="str">
        <f t="shared" ref="BD34:BE34" si="41">if(ISNUMBER($B34), IF(AM34="Not Answered","-",AM34),)</f>
        <v/>
      </c>
      <c r="BE34" s="10" t="str">
        <f t="shared" si="41"/>
        <v/>
      </c>
    </row>
    <row r="35">
      <c r="AO35" s="5" t="str">
        <f t="shared" si="3"/>
        <v/>
      </c>
      <c r="AP35" s="5" t="str">
        <f t="shared" si="4"/>
        <v/>
      </c>
      <c r="AQ35" s="5" t="str">
        <f>IFERROR(__xludf.DUMMYFUNCTION("if(ISNUMBER(B35),FILTER(P35:AA35,REGEXMATCH(P35:AA35, ""Not Answered"")=FALSE),)"),"")</f>
        <v/>
      </c>
      <c r="AR35" s="5" t="str">
        <f>if(ISNUMBER($D35), VLOOKUP(AQ35, konsulenter!$A$1:$B99,2,false),)</f>
        <v/>
      </c>
      <c r="AS35" s="10" t="str">
        <f>if(ISNUMBER($B35), VLOOKUP(AB35, mapping!$A$2:$B99,2,false),)</f>
        <v/>
      </c>
      <c r="AT35" s="10" t="str">
        <f t="shared" si="5"/>
        <v/>
      </c>
      <c r="AU35" s="10" t="str">
        <f>if(ISNUMBER($B35), VLOOKUP(AD35, mapping!$A$2:$B99,2,false),)</f>
        <v/>
      </c>
      <c r="AV35" s="10" t="str">
        <f t="shared" si="6"/>
        <v/>
      </c>
      <c r="AW35" s="10" t="str">
        <f>if(ISNUMBER($B35), VLOOKUP(AF35, mapping!$A$2:$B99,2,false),)</f>
        <v/>
      </c>
      <c r="AX35" s="10" t="str">
        <f t="shared" si="7"/>
        <v/>
      </c>
      <c r="AY35" s="10" t="str">
        <f>if(ISNUMBER($B35), VLOOKUP(AH35, mapping!$A$2:$B99,2,false),)</f>
        <v/>
      </c>
      <c r="AZ35" s="10" t="str">
        <f t="shared" si="8"/>
        <v/>
      </c>
      <c r="BA35" s="10" t="str">
        <f>if(ISNUMBER($B35), VLOOKUP(AJ35, mapping!$A$2:$B99,2,false),)</f>
        <v/>
      </c>
      <c r="BB35" s="10" t="str">
        <f t="shared" si="9"/>
        <v/>
      </c>
      <c r="BC35" s="10" t="str">
        <f>if(ISNUMBER($B35), VLOOKUP(AL35, mapping!$A$2:$B99,2,false),)</f>
        <v/>
      </c>
      <c r="BD35" s="10" t="str">
        <f t="shared" ref="BD35:BE35" si="42">if(ISNUMBER($B35), IF(AM35="Not Answered","-",AM35),)</f>
        <v/>
      </c>
      <c r="BE35" s="10" t="str">
        <f t="shared" si="42"/>
        <v/>
      </c>
    </row>
    <row r="36">
      <c r="AO36" s="5" t="str">
        <f t="shared" si="3"/>
        <v/>
      </c>
      <c r="AP36" s="5" t="str">
        <f t="shared" si="4"/>
        <v/>
      </c>
      <c r="AQ36" s="5" t="str">
        <f>IFERROR(__xludf.DUMMYFUNCTION("if(ISNUMBER(B36),FILTER(P36:AA36,REGEXMATCH(P36:AA36, ""Not Answered"")=FALSE),)"),"")</f>
        <v/>
      </c>
      <c r="AR36" s="5" t="str">
        <f>if(ISNUMBER($D36), VLOOKUP(AQ36, konsulenter!$A$1:$B99,2,false),)</f>
        <v/>
      </c>
      <c r="AS36" s="10" t="str">
        <f>if(ISNUMBER($B36), VLOOKUP(AB36, mapping!$A$2:$B99,2,false),)</f>
        <v/>
      </c>
      <c r="AT36" s="10" t="str">
        <f t="shared" si="5"/>
        <v/>
      </c>
      <c r="AU36" s="10" t="str">
        <f>if(ISNUMBER($B36), VLOOKUP(AD36, mapping!$A$2:$B99,2,false),)</f>
        <v/>
      </c>
      <c r="AV36" s="10" t="str">
        <f t="shared" si="6"/>
        <v/>
      </c>
      <c r="AW36" s="10" t="str">
        <f>if(ISNUMBER($B36), VLOOKUP(AF36, mapping!$A$2:$B99,2,false),)</f>
        <v/>
      </c>
      <c r="AX36" s="10" t="str">
        <f t="shared" si="7"/>
        <v/>
      </c>
      <c r="AY36" s="10" t="str">
        <f>if(ISNUMBER($B36), VLOOKUP(AH36, mapping!$A$2:$B99,2,false),)</f>
        <v/>
      </c>
      <c r="AZ36" s="10" t="str">
        <f t="shared" si="8"/>
        <v/>
      </c>
      <c r="BA36" s="10" t="str">
        <f>if(ISNUMBER($B36), VLOOKUP(AJ36, mapping!$A$2:$B99,2,false),)</f>
        <v/>
      </c>
      <c r="BB36" s="10" t="str">
        <f t="shared" si="9"/>
        <v/>
      </c>
      <c r="BC36" s="10" t="str">
        <f>if(ISNUMBER($B36), VLOOKUP(AL36, mapping!$A$2:$B99,2,false),)</f>
        <v/>
      </c>
      <c r="BD36" s="10" t="str">
        <f t="shared" ref="BD36:BE36" si="43">if(ISNUMBER($B36), IF(AM36="Not Answered","-",AM36),)</f>
        <v/>
      </c>
      <c r="BE36" s="10" t="str">
        <f t="shared" si="43"/>
        <v/>
      </c>
    </row>
    <row r="37">
      <c r="AO37" s="5" t="str">
        <f t="shared" si="3"/>
        <v/>
      </c>
      <c r="AP37" s="5" t="str">
        <f t="shared" si="4"/>
        <v/>
      </c>
      <c r="AQ37" s="5" t="str">
        <f>IFERROR(__xludf.DUMMYFUNCTION("if(ISNUMBER(B37),FILTER(P37:AA37,REGEXMATCH(P37:AA37, ""Not Answered"")=FALSE),)"),"")</f>
        <v/>
      </c>
      <c r="AR37" s="5" t="str">
        <f>if(ISNUMBER($D37), VLOOKUP(AQ37, konsulenter!$A$1:$B99,2,false),)</f>
        <v/>
      </c>
      <c r="AS37" s="10" t="str">
        <f>if(ISNUMBER($B37), VLOOKUP(AB37, mapping!$A$2:$B99,2,false),)</f>
        <v/>
      </c>
      <c r="AT37" s="10" t="str">
        <f t="shared" si="5"/>
        <v/>
      </c>
      <c r="AU37" s="10" t="str">
        <f>if(ISNUMBER($B37), VLOOKUP(AD37, mapping!$A$2:$B99,2,false),)</f>
        <v/>
      </c>
      <c r="AV37" s="10" t="str">
        <f t="shared" si="6"/>
        <v/>
      </c>
      <c r="AW37" s="10" t="str">
        <f>if(ISNUMBER($B37), VLOOKUP(AF37, mapping!$A$2:$B99,2,false),)</f>
        <v/>
      </c>
      <c r="AX37" s="10" t="str">
        <f t="shared" si="7"/>
        <v/>
      </c>
      <c r="AY37" s="10" t="str">
        <f>if(ISNUMBER($B37), VLOOKUP(AH37, mapping!$A$2:$B99,2,false),)</f>
        <v/>
      </c>
      <c r="AZ37" s="10" t="str">
        <f t="shared" si="8"/>
        <v/>
      </c>
      <c r="BA37" s="10" t="str">
        <f>if(ISNUMBER($B37), VLOOKUP(AJ37, mapping!$A$2:$B99,2,false),)</f>
        <v/>
      </c>
      <c r="BB37" s="10" t="str">
        <f t="shared" si="9"/>
        <v/>
      </c>
      <c r="BC37" s="10" t="str">
        <f>if(ISNUMBER($B37), VLOOKUP(AL37, mapping!$A$2:$B99,2,false),)</f>
        <v/>
      </c>
      <c r="BD37" s="10" t="str">
        <f t="shared" ref="BD37:BE37" si="44">if(ISNUMBER($B37), IF(AM37="Not Answered","-",AM37),)</f>
        <v/>
      </c>
      <c r="BE37" s="10" t="str">
        <f t="shared" si="44"/>
        <v/>
      </c>
    </row>
    <row r="38">
      <c r="AO38" s="5" t="str">
        <f t="shared" si="3"/>
        <v/>
      </c>
      <c r="AP38" s="5" t="str">
        <f t="shared" si="4"/>
        <v/>
      </c>
      <c r="AQ38" s="5" t="str">
        <f>IFERROR(__xludf.DUMMYFUNCTION("if(ISNUMBER(B38),FILTER(P38:AA38,REGEXMATCH(P38:AA38, ""Not Answered"")=FALSE),)"),"")</f>
        <v/>
      </c>
      <c r="AR38" s="5" t="str">
        <f>if(ISNUMBER($D38), VLOOKUP(AQ38, konsulenter!$A$1:$B99,2,false),)</f>
        <v/>
      </c>
      <c r="AS38" s="10" t="str">
        <f>if(ISNUMBER($B38), VLOOKUP(AB38, mapping!$A$2:$B99,2,false),)</f>
        <v/>
      </c>
      <c r="AT38" s="10" t="str">
        <f t="shared" si="5"/>
        <v/>
      </c>
      <c r="AU38" s="10" t="str">
        <f>if(ISNUMBER($B38), VLOOKUP(AD38, mapping!$A$2:$B99,2,false),)</f>
        <v/>
      </c>
      <c r="AV38" s="10" t="str">
        <f t="shared" si="6"/>
        <v/>
      </c>
      <c r="AW38" s="10" t="str">
        <f>if(ISNUMBER($B38), VLOOKUP(AF38, mapping!$A$2:$B99,2,false),)</f>
        <v/>
      </c>
      <c r="AX38" s="10" t="str">
        <f t="shared" si="7"/>
        <v/>
      </c>
      <c r="AY38" s="10" t="str">
        <f>if(ISNUMBER($B38), VLOOKUP(AH38, mapping!$A$2:$B99,2,false),)</f>
        <v/>
      </c>
      <c r="AZ38" s="10" t="str">
        <f t="shared" si="8"/>
        <v/>
      </c>
      <c r="BA38" s="10" t="str">
        <f>if(ISNUMBER($B38), VLOOKUP(AJ38, mapping!$A$2:$B99,2,false),)</f>
        <v/>
      </c>
      <c r="BB38" s="10" t="str">
        <f t="shared" si="9"/>
        <v/>
      </c>
      <c r="BC38" s="10" t="str">
        <f>if(ISNUMBER($B38), VLOOKUP(AL38, mapping!$A$2:$B99,2,false),)</f>
        <v/>
      </c>
      <c r="BD38" s="10" t="str">
        <f t="shared" ref="BD38:BE38" si="45">if(ISNUMBER($B38), IF(AM38="Not Answered","-",AM38),)</f>
        <v/>
      </c>
      <c r="BE38" s="10" t="str">
        <f t="shared" si="45"/>
        <v/>
      </c>
    </row>
    <row r="39">
      <c r="AO39" s="5" t="str">
        <f t="shared" si="3"/>
        <v/>
      </c>
      <c r="AP39" s="5" t="str">
        <f t="shared" si="4"/>
        <v/>
      </c>
      <c r="AQ39" s="5" t="str">
        <f>IFERROR(__xludf.DUMMYFUNCTION("if(ISNUMBER(B39),FILTER(P39:AA39,REGEXMATCH(P39:AA39, ""Not Answered"")=FALSE),)"),"")</f>
        <v/>
      </c>
      <c r="AR39" s="5" t="str">
        <f>if(ISNUMBER($D39), VLOOKUP(AQ39, konsulenter!$A$1:$B99,2,false),)</f>
        <v/>
      </c>
      <c r="AS39" s="10" t="str">
        <f>if(ISNUMBER($B39), VLOOKUP(AB39, mapping!$A$2:$B99,2,false),)</f>
        <v/>
      </c>
      <c r="AT39" s="10" t="str">
        <f t="shared" si="5"/>
        <v/>
      </c>
      <c r="AU39" s="10" t="str">
        <f>if(ISNUMBER($B39), VLOOKUP(AD39, mapping!$A$2:$B99,2,false),)</f>
        <v/>
      </c>
      <c r="AV39" s="10" t="str">
        <f t="shared" si="6"/>
        <v/>
      </c>
      <c r="AW39" s="10" t="str">
        <f>if(ISNUMBER($B39), VLOOKUP(AF39, mapping!$A$2:$B99,2,false),)</f>
        <v/>
      </c>
      <c r="AX39" s="10" t="str">
        <f t="shared" si="7"/>
        <v/>
      </c>
      <c r="AY39" s="10" t="str">
        <f>if(ISNUMBER($B39), VLOOKUP(AH39, mapping!$A$2:$B99,2,false),)</f>
        <v/>
      </c>
      <c r="AZ39" s="10" t="str">
        <f t="shared" si="8"/>
        <v/>
      </c>
      <c r="BA39" s="10" t="str">
        <f>if(ISNUMBER($B39), VLOOKUP(AJ39, mapping!$A$2:$B99,2,false),)</f>
        <v/>
      </c>
      <c r="BB39" s="10" t="str">
        <f t="shared" si="9"/>
        <v/>
      </c>
      <c r="BC39" s="10" t="str">
        <f>if(ISNUMBER($B39), VLOOKUP(AL39, mapping!$A$2:$B99,2,false),)</f>
        <v/>
      </c>
      <c r="BD39" s="10" t="str">
        <f t="shared" ref="BD39:BE39" si="46">if(ISNUMBER($B39), IF(AM39="Not Answered","-",AM39),)</f>
        <v/>
      </c>
      <c r="BE39" s="10" t="str">
        <f t="shared" si="46"/>
        <v/>
      </c>
    </row>
    <row r="40">
      <c r="AO40" s="5" t="str">
        <f t="shared" si="3"/>
        <v/>
      </c>
      <c r="AP40" s="5" t="str">
        <f t="shared" si="4"/>
        <v/>
      </c>
      <c r="AQ40" s="5" t="str">
        <f>IFERROR(__xludf.DUMMYFUNCTION("if(ISNUMBER(B40),FILTER(P40:AA40,REGEXMATCH(P40:AA40, ""Not Answered"")=FALSE),)"),"")</f>
        <v/>
      </c>
      <c r="AR40" s="5" t="str">
        <f>if(ISNUMBER($D40), VLOOKUP(AQ40, konsulenter!$A$1:$B99,2,false),)</f>
        <v/>
      </c>
      <c r="AS40" s="10" t="str">
        <f>if(ISNUMBER($B40), VLOOKUP(AB40, mapping!$A$2:$B99,2,false),)</f>
        <v/>
      </c>
      <c r="AT40" s="10" t="str">
        <f t="shared" si="5"/>
        <v/>
      </c>
      <c r="AU40" s="10" t="str">
        <f>if(ISNUMBER($B40), VLOOKUP(AD40, mapping!$A$2:$B99,2,false),)</f>
        <v/>
      </c>
      <c r="AV40" s="10" t="str">
        <f t="shared" si="6"/>
        <v/>
      </c>
      <c r="AW40" s="10" t="str">
        <f>if(ISNUMBER($B40), VLOOKUP(AF40, mapping!$A$2:$B99,2,false),)</f>
        <v/>
      </c>
      <c r="AX40" s="10" t="str">
        <f t="shared" si="7"/>
        <v/>
      </c>
      <c r="AY40" s="10" t="str">
        <f>if(ISNUMBER($B40), VLOOKUP(AH40, mapping!$A$2:$B99,2,false),)</f>
        <v/>
      </c>
      <c r="AZ40" s="10" t="str">
        <f t="shared" si="8"/>
        <v/>
      </c>
      <c r="BA40" s="10" t="str">
        <f>if(ISNUMBER($B40), VLOOKUP(AJ40, mapping!$A$2:$B99,2,false),)</f>
        <v/>
      </c>
      <c r="BB40" s="10" t="str">
        <f t="shared" si="9"/>
        <v/>
      </c>
      <c r="BC40" s="10" t="str">
        <f>if(ISNUMBER($B40), VLOOKUP(AL40, mapping!$A$2:$B99,2,false),)</f>
        <v/>
      </c>
      <c r="BD40" s="10" t="str">
        <f t="shared" ref="BD40:BE40" si="47">if(ISNUMBER($B40), IF(AM40="Not Answered","-",AM40),)</f>
        <v/>
      </c>
      <c r="BE40" s="10" t="str">
        <f t="shared" si="47"/>
        <v/>
      </c>
    </row>
    <row r="41">
      <c r="AO41" s="5" t="str">
        <f t="shared" si="3"/>
        <v/>
      </c>
      <c r="AP41" s="5" t="str">
        <f t="shared" si="4"/>
        <v/>
      </c>
      <c r="AQ41" s="5" t="str">
        <f>IFERROR(__xludf.DUMMYFUNCTION("if(ISNUMBER(B41),FILTER(P41:AA41,REGEXMATCH(P41:AA41, ""Not Answered"")=FALSE),)"),"")</f>
        <v/>
      </c>
      <c r="AR41" s="5" t="str">
        <f>if(ISNUMBER($D41), VLOOKUP(AQ41, konsulenter!$A$1:$B99,2,false),)</f>
        <v/>
      </c>
      <c r="AS41" s="10" t="str">
        <f>if(ISNUMBER($B41), VLOOKUP(AB41, mapping!$A$2:$B99,2,false),)</f>
        <v/>
      </c>
      <c r="AT41" s="10" t="str">
        <f t="shared" si="5"/>
        <v/>
      </c>
      <c r="AU41" s="10" t="str">
        <f>if(ISNUMBER($B41), VLOOKUP(AD41, mapping!$A$2:$B99,2,false),)</f>
        <v/>
      </c>
      <c r="AV41" s="10" t="str">
        <f t="shared" si="6"/>
        <v/>
      </c>
      <c r="AW41" s="10" t="str">
        <f>if(ISNUMBER($B41), VLOOKUP(AF41, mapping!$A$2:$B99,2,false),)</f>
        <v/>
      </c>
      <c r="AX41" s="10" t="str">
        <f t="shared" si="7"/>
        <v/>
      </c>
      <c r="AY41" s="10" t="str">
        <f>if(ISNUMBER($B41), VLOOKUP(AH41, mapping!$A$2:$B99,2,false),)</f>
        <v/>
      </c>
      <c r="AZ41" s="10" t="str">
        <f t="shared" si="8"/>
        <v/>
      </c>
      <c r="BA41" s="10" t="str">
        <f>if(ISNUMBER($B41), VLOOKUP(AJ41, mapping!$A$2:$B99,2,false),)</f>
        <v/>
      </c>
      <c r="BB41" s="10" t="str">
        <f t="shared" si="9"/>
        <v/>
      </c>
      <c r="BC41" s="10" t="str">
        <f>if(ISNUMBER($B41), VLOOKUP(AL41, mapping!$A$2:$B99,2,false),)</f>
        <v/>
      </c>
      <c r="BD41" s="10" t="str">
        <f t="shared" ref="BD41:BE41" si="48">if(ISNUMBER($B41), IF(AM41="Not Answered","-",AM41),)</f>
        <v/>
      </c>
      <c r="BE41" s="10" t="str">
        <f t="shared" si="48"/>
        <v/>
      </c>
    </row>
    <row r="42">
      <c r="AO42" s="5" t="str">
        <f t="shared" si="3"/>
        <v/>
      </c>
      <c r="AP42" s="5" t="str">
        <f t="shared" si="4"/>
        <v/>
      </c>
      <c r="AQ42" s="5" t="str">
        <f>IFERROR(__xludf.DUMMYFUNCTION("if(ISNUMBER(B42),FILTER(P42:AA42,REGEXMATCH(P42:AA42, ""Not Answered"")=FALSE),)"),"")</f>
        <v/>
      </c>
      <c r="AR42" s="5" t="str">
        <f>if(ISNUMBER($D42), VLOOKUP(AQ42, konsulenter!$A$1:$B99,2,false),)</f>
        <v/>
      </c>
      <c r="AS42" s="10" t="str">
        <f>if(ISNUMBER($B42), VLOOKUP(AB42, mapping!$A$2:$B99,2,false),)</f>
        <v/>
      </c>
      <c r="AT42" s="10" t="str">
        <f t="shared" si="5"/>
        <v/>
      </c>
      <c r="AU42" s="10" t="str">
        <f>if(ISNUMBER($B42), VLOOKUP(AD42, mapping!$A$2:$B99,2,false),)</f>
        <v/>
      </c>
      <c r="AV42" s="10" t="str">
        <f t="shared" si="6"/>
        <v/>
      </c>
      <c r="AW42" s="10" t="str">
        <f>if(ISNUMBER($B42), VLOOKUP(AF42, mapping!$A$2:$B99,2,false),)</f>
        <v/>
      </c>
      <c r="AX42" s="10" t="str">
        <f t="shared" si="7"/>
        <v/>
      </c>
      <c r="AY42" s="10" t="str">
        <f>if(ISNUMBER($B42), VLOOKUP(AH42, mapping!$A$2:$B99,2,false),)</f>
        <v/>
      </c>
      <c r="AZ42" s="10" t="str">
        <f t="shared" si="8"/>
        <v/>
      </c>
      <c r="BA42" s="10" t="str">
        <f>if(ISNUMBER($B42), VLOOKUP(AJ42, mapping!$A$2:$B99,2,false),)</f>
        <v/>
      </c>
      <c r="BB42" s="10" t="str">
        <f t="shared" si="9"/>
        <v/>
      </c>
      <c r="BC42" s="10" t="str">
        <f>if(ISNUMBER($B42), VLOOKUP(AL42, mapping!$A$2:$B99,2,false),)</f>
        <v/>
      </c>
      <c r="BD42" s="10" t="str">
        <f t="shared" ref="BD42:BE42" si="49">if(ISNUMBER($B42), IF(AM42="Not Answered","-",AM42),)</f>
        <v/>
      </c>
      <c r="BE42" s="10" t="str">
        <f t="shared" si="49"/>
        <v/>
      </c>
    </row>
    <row r="43">
      <c r="AO43" s="5" t="str">
        <f t="shared" si="3"/>
        <v/>
      </c>
      <c r="AP43" s="5" t="str">
        <f t="shared" si="4"/>
        <v/>
      </c>
      <c r="AQ43" s="5" t="str">
        <f>IFERROR(__xludf.DUMMYFUNCTION("if(ISNUMBER(B43),FILTER(P43:AA43,REGEXMATCH(P43:AA43, ""Not Answered"")=FALSE),)"),"")</f>
        <v/>
      </c>
      <c r="AR43" s="5" t="str">
        <f>if(ISNUMBER($D43), VLOOKUP(AQ43, konsulenter!$A$1:$B99,2,false),)</f>
        <v/>
      </c>
      <c r="AS43" s="10" t="str">
        <f>if(ISNUMBER($B43), VLOOKUP(AB43, mapping!$A$2:$B99,2,false),)</f>
        <v/>
      </c>
      <c r="AT43" s="10" t="str">
        <f t="shared" si="5"/>
        <v/>
      </c>
      <c r="AU43" s="10" t="str">
        <f>if(ISNUMBER($B43), VLOOKUP(AD43, mapping!$A$2:$B99,2,false),)</f>
        <v/>
      </c>
      <c r="AV43" s="10" t="str">
        <f t="shared" si="6"/>
        <v/>
      </c>
      <c r="AW43" s="10" t="str">
        <f>if(ISNUMBER($B43), VLOOKUP(AF43, mapping!$A$2:$B99,2,false),)</f>
        <v/>
      </c>
      <c r="AX43" s="10" t="str">
        <f t="shared" si="7"/>
        <v/>
      </c>
      <c r="AY43" s="10" t="str">
        <f>if(ISNUMBER($B43), VLOOKUP(AH43, mapping!$A$2:$B99,2,false),)</f>
        <v/>
      </c>
      <c r="AZ43" s="10" t="str">
        <f t="shared" si="8"/>
        <v/>
      </c>
      <c r="BA43" s="10" t="str">
        <f>if(ISNUMBER($B43), VLOOKUP(AJ43, mapping!$A$2:$B99,2,false),)</f>
        <v/>
      </c>
      <c r="BB43" s="10" t="str">
        <f t="shared" si="9"/>
        <v/>
      </c>
      <c r="BC43" s="10" t="str">
        <f>if(ISNUMBER($B43), VLOOKUP(AL43, mapping!$A$2:$B99,2,false),)</f>
        <v/>
      </c>
      <c r="BD43" s="10" t="str">
        <f t="shared" ref="BD43:BE43" si="50">if(ISNUMBER($B43), IF(AM43="Not Answered","-",AM43),)</f>
        <v/>
      </c>
      <c r="BE43" s="10" t="str">
        <f t="shared" si="50"/>
        <v/>
      </c>
    </row>
    <row r="44">
      <c r="AO44" s="5" t="str">
        <f t="shared" si="3"/>
        <v/>
      </c>
      <c r="AP44" s="5" t="str">
        <f t="shared" si="4"/>
        <v/>
      </c>
      <c r="AQ44" s="5" t="str">
        <f>IFERROR(__xludf.DUMMYFUNCTION("if(ISNUMBER(B44),FILTER(P44:AA44,REGEXMATCH(P44:AA44, ""Not Answered"")=FALSE),)"),"")</f>
        <v/>
      </c>
      <c r="AR44" s="5" t="str">
        <f>if(ISNUMBER($D44), VLOOKUP(AQ44, konsulenter!$A$1:$B99,2,false),)</f>
        <v/>
      </c>
      <c r="AS44" s="10" t="str">
        <f>if(ISNUMBER($B44), VLOOKUP(AB44, mapping!$A$2:$B99,2,false),)</f>
        <v/>
      </c>
      <c r="AT44" s="10" t="str">
        <f t="shared" si="5"/>
        <v/>
      </c>
      <c r="AU44" s="10" t="str">
        <f>if(ISNUMBER($B44), VLOOKUP(AD44, mapping!$A$2:$B99,2,false),)</f>
        <v/>
      </c>
      <c r="AV44" s="10" t="str">
        <f t="shared" si="6"/>
        <v/>
      </c>
      <c r="AW44" s="10" t="str">
        <f>if(ISNUMBER($B44), VLOOKUP(AF44, mapping!$A$2:$B99,2,false),)</f>
        <v/>
      </c>
      <c r="AX44" s="10" t="str">
        <f t="shared" si="7"/>
        <v/>
      </c>
      <c r="AY44" s="10" t="str">
        <f>if(ISNUMBER($B44), VLOOKUP(AH44, mapping!$A$2:$B99,2,false),)</f>
        <v/>
      </c>
      <c r="AZ44" s="10" t="str">
        <f t="shared" si="8"/>
        <v/>
      </c>
      <c r="BA44" s="10" t="str">
        <f>if(ISNUMBER($B44), VLOOKUP(AJ44, mapping!$A$2:$B99,2,false),)</f>
        <v/>
      </c>
      <c r="BB44" s="10" t="str">
        <f t="shared" si="9"/>
        <v/>
      </c>
      <c r="BC44" s="10" t="str">
        <f>if(ISNUMBER($B44), VLOOKUP(AL44, mapping!$A$2:$B99,2,false),)</f>
        <v/>
      </c>
      <c r="BD44" s="10" t="str">
        <f t="shared" ref="BD44:BE44" si="51">if(ISNUMBER($B44), IF(AM44="Not Answered","-",AM44),)</f>
        <v/>
      </c>
      <c r="BE44" s="10" t="str">
        <f t="shared" si="51"/>
        <v/>
      </c>
    </row>
    <row r="45">
      <c r="AO45" s="5" t="str">
        <f t="shared" si="3"/>
        <v/>
      </c>
      <c r="AP45" s="5" t="str">
        <f t="shared" si="4"/>
        <v/>
      </c>
      <c r="AQ45" s="5" t="str">
        <f>IFERROR(__xludf.DUMMYFUNCTION("if(ISNUMBER(B45),FILTER(P45:AA45,REGEXMATCH(P45:AA45, ""Not Answered"")=FALSE),)"),"")</f>
        <v/>
      </c>
      <c r="AR45" s="5" t="str">
        <f>if(ISNUMBER($D45), VLOOKUP(AQ45, konsulenter!$A$1:$B99,2,false),)</f>
        <v/>
      </c>
      <c r="AS45" s="10" t="str">
        <f>if(ISNUMBER($B45), VLOOKUP(AB45, mapping!$A$2:$B99,2,false),)</f>
        <v/>
      </c>
      <c r="AT45" s="10" t="str">
        <f t="shared" si="5"/>
        <v/>
      </c>
      <c r="AU45" s="10" t="str">
        <f>if(ISNUMBER($B45), VLOOKUP(AD45, mapping!$A$2:$B99,2,false),)</f>
        <v/>
      </c>
      <c r="AV45" s="10" t="str">
        <f t="shared" si="6"/>
        <v/>
      </c>
      <c r="AW45" s="10" t="str">
        <f>if(ISNUMBER($B45), VLOOKUP(AF45, mapping!$A$2:$B99,2,false),)</f>
        <v/>
      </c>
      <c r="AX45" s="10" t="str">
        <f t="shared" si="7"/>
        <v/>
      </c>
      <c r="AY45" s="10" t="str">
        <f>if(ISNUMBER($B45), VLOOKUP(AH45, mapping!$A$2:$B99,2,false),)</f>
        <v/>
      </c>
      <c r="AZ45" s="10" t="str">
        <f t="shared" si="8"/>
        <v/>
      </c>
      <c r="BA45" s="10" t="str">
        <f>if(ISNUMBER($B45), VLOOKUP(AJ45, mapping!$A$2:$B99,2,false),)</f>
        <v/>
      </c>
      <c r="BB45" s="10" t="str">
        <f t="shared" si="9"/>
        <v/>
      </c>
      <c r="BC45" s="10" t="str">
        <f>if(ISNUMBER($B45), VLOOKUP(AL45, mapping!$A$2:$B99,2,false),)</f>
        <v/>
      </c>
      <c r="BD45" s="10" t="str">
        <f t="shared" ref="BD45:BE45" si="52">if(ISNUMBER($B45), IF(AM45="Not Answered","-",AM45),)</f>
        <v/>
      </c>
      <c r="BE45" s="10" t="str">
        <f t="shared" si="52"/>
        <v/>
      </c>
    </row>
    <row r="46">
      <c r="AO46" s="5" t="str">
        <f t="shared" si="3"/>
        <v/>
      </c>
      <c r="AP46" s="5" t="str">
        <f t="shared" si="4"/>
        <v/>
      </c>
      <c r="AQ46" s="5" t="str">
        <f>IFERROR(__xludf.DUMMYFUNCTION("if(ISNUMBER(B46),FILTER(P46:AA46,REGEXMATCH(P46:AA46, ""Not Answered"")=FALSE),)"),"")</f>
        <v/>
      </c>
      <c r="AR46" s="5" t="str">
        <f>if(ISNUMBER($D46), VLOOKUP(AQ46, konsulenter!$A$1:$B99,2,false),)</f>
        <v/>
      </c>
      <c r="AS46" s="10" t="str">
        <f>if(ISNUMBER($B46), VLOOKUP(AB46, mapping!$A$2:$B99,2,false),)</f>
        <v/>
      </c>
      <c r="AT46" s="10" t="str">
        <f t="shared" si="5"/>
        <v/>
      </c>
      <c r="AU46" s="10" t="str">
        <f>if(ISNUMBER($B46), VLOOKUP(AD46, mapping!$A$2:$B99,2,false),)</f>
        <v/>
      </c>
      <c r="AV46" s="10" t="str">
        <f t="shared" si="6"/>
        <v/>
      </c>
      <c r="AW46" s="10" t="str">
        <f>if(ISNUMBER($B46), VLOOKUP(AF46, mapping!$A$2:$B99,2,false),)</f>
        <v/>
      </c>
      <c r="AX46" s="10" t="str">
        <f t="shared" si="7"/>
        <v/>
      </c>
      <c r="AY46" s="10" t="str">
        <f>if(ISNUMBER($B46), VLOOKUP(AH46, mapping!$A$2:$B99,2,false),)</f>
        <v/>
      </c>
      <c r="AZ46" s="10" t="str">
        <f t="shared" si="8"/>
        <v/>
      </c>
      <c r="BA46" s="10" t="str">
        <f>if(ISNUMBER($B46), VLOOKUP(AJ46, mapping!$A$2:$B99,2,false),)</f>
        <v/>
      </c>
      <c r="BB46" s="10" t="str">
        <f t="shared" si="9"/>
        <v/>
      </c>
      <c r="BC46" s="10" t="str">
        <f>if(ISNUMBER($B46), VLOOKUP(AL46, mapping!$A$2:$B99,2,false),)</f>
        <v/>
      </c>
      <c r="BD46" s="10" t="str">
        <f t="shared" ref="BD46:BE46" si="53">if(ISNUMBER($B46), IF(AM46="Not Answered","-",AM46),)</f>
        <v/>
      </c>
      <c r="BE46" s="10" t="str">
        <f t="shared" si="53"/>
        <v/>
      </c>
    </row>
    <row r="47">
      <c r="AO47" s="5" t="str">
        <f t="shared" si="3"/>
        <v/>
      </c>
      <c r="AP47" s="5" t="str">
        <f t="shared" si="4"/>
        <v/>
      </c>
      <c r="AQ47" s="5" t="str">
        <f>IFERROR(__xludf.DUMMYFUNCTION("if(ISNUMBER(B47),FILTER(P47:AA47,REGEXMATCH(P47:AA47, ""Not Answered"")=FALSE),)"),"")</f>
        <v/>
      </c>
      <c r="AR47" s="5" t="str">
        <f>if(ISNUMBER($D47), VLOOKUP(AQ47, konsulenter!$A$1:$B99,2,false),)</f>
        <v/>
      </c>
      <c r="AS47" s="10" t="str">
        <f>if(ISNUMBER($B47), VLOOKUP(AB47, mapping!$A$2:$B99,2,false),)</f>
        <v/>
      </c>
      <c r="AT47" s="10" t="str">
        <f t="shared" si="5"/>
        <v/>
      </c>
      <c r="AU47" s="10" t="str">
        <f>if(ISNUMBER($B47), VLOOKUP(AD47, mapping!$A$2:$B99,2,false),)</f>
        <v/>
      </c>
      <c r="AV47" s="10" t="str">
        <f t="shared" si="6"/>
        <v/>
      </c>
      <c r="AW47" s="10" t="str">
        <f>if(ISNUMBER($B47), VLOOKUP(AF47, mapping!$A$2:$B99,2,false),)</f>
        <v/>
      </c>
      <c r="AX47" s="10" t="str">
        <f t="shared" si="7"/>
        <v/>
      </c>
      <c r="AY47" s="10" t="str">
        <f>if(ISNUMBER($B47), VLOOKUP(AH47, mapping!$A$2:$B99,2,false),)</f>
        <v/>
      </c>
      <c r="AZ47" s="10" t="str">
        <f t="shared" si="8"/>
        <v/>
      </c>
      <c r="BA47" s="10" t="str">
        <f>if(ISNUMBER($B47), VLOOKUP(AJ47, mapping!$A$2:$B99,2,false),)</f>
        <v/>
      </c>
      <c r="BB47" s="10" t="str">
        <f t="shared" si="9"/>
        <v/>
      </c>
      <c r="BC47" s="10" t="str">
        <f>if(ISNUMBER($B47), VLOOKUP(AL47, mapping!$A$2:$B99,2,false),)</f>
        <v/>
      </c>
      <c r="BD47" s="10" t="str">
        <f t="shared" ref="BD47:BE47" si="54">if(ISNUMBER($B47), IF(AM47="Not Answered","-",AM47),)</f>
        <v/>
      </c>
      <c r="BE47" s="10" t="str">
        <f t="shared" si="54"/>
        <v/>
      </c>
    </row>
    <row r="48">
      <c r="AO48" s="5" t="str">
        <f t="shared" si="3"/>
        <v/>
      </c>
      <c r="AP48" s="5" t="str">
        <f t="shared" si="4"/>
        <v/>
      </c>
      <c r="AQ48" s="5" t="str">
        <f>IFERROR(__xludf.DUMMYFUNCTION("if(ISNUMBER(B48),FILTER(P48:AA48,REGEXMATCH(P48:AA48, ""Not Answered"")=FALSE),)"),"")</f>
        <v/>
      </c>
      <c r="AR48" s="5" t="str">
        <f>if(ISNUMBER($D48), VLOOKUP(AQ48, konsulenter!$A$1:$B99,2,false),)</f>
        <v/>
      </c>
      <c r="AS48" s="10" t="str">
        <f>if(ISNUMBER($B48), VLOOKUP(AB48, mapping!$A$2:$B99,2,false),)</f>
        <v/>
      </c>
      <c r="AT48" s="10" t="str">
        <f t="shared" si="5"/>
        <v/>
      </c>
      <c r="AU48" s="10" t="str">
        <f>if(ISNUMBER($B48), VLOOKUP(AD48, mapping!$A$2:$B99,2,false),)</f>
        <v/>
      </c>
      <c r="AV48" s="10" t="str">
        <f t="shared" si="6"/>
        <v/>
      </c>
      <c r="AW48" s="10" t="str">
        <f>if(ISNUMBER($B48), VLOOKUP(AF48, mapping!$A$2:$B99,2,false),)</f>
        <v/>
      </c>
      <c r="AX48" s="10" t="str">
        <f t="shared" si="7"/>
        <v/>
      </c>
      <c r="AY48" s="10" t="str">
        <f>if(ISNUMBER($B48), VLOOKUP(AH48, mapping!$A$2:$B99,2,false),)</f>
        <v/>
      </c>
      <c r="AZ48" s="10" t="str">
        <f t="shared" si="8"/>
        <v/>
      </c>
      <c r="BA48" s="10" t="str">
        <f>if(ISNUMBER($B48), VLOOKUP(AJ48, mapping!$A$2:$B99,2,false),)</f>
        <v/>
      </c>
      <c r="BB48" s="10" t="str">
        <f t="shared" si="9"/>
        <v/>
      </c>
      <c r="BC48" s="10" t="str">
        <f>if(ISNUMBER($B48), VLOOKUP(AL48, mapping!$A$2:$B99,2,false),)</f>
        <v/>
      </c>
      <c r="BD48" s="10" t="str">
        <f t="shared" ref="BD48:BE48" si="55">if(ISNUMBER($B48), IF(AM48="Not Answered","-",AM48),)</f>
        <v/>
      </c>
      <c r="BE48" s="10" t="str">
        <f t="shared" si="55"/>
        <v/>
      </c>
    </row>
    <row r="49">
      <c r="AO49" s="5" t="str">
        <f t="shared" si="3"/>
        <v/>
      </c>
      <c r="AP49" s="5" t="str">
        <f t="shared" si="4"/>
        <v/>
      </c>
      <c r="AQ49" s="5" t="str">
        <f>IFERROR(__xludf.DUMMYFUNCTION("if(ISNUMBER(B49),FILTER(P49:AA49,REGEXMATCH(P49:AA49, ""Not Answered"")=FALSE),)"),"")</f>
        <v/>
      </c>
      <c r="AR49" s="5" t="str">
        <f>if(ISNUMBER($D49), VLOOKUP(AQ49, konsulenter!$A$1:$B99,2,false),)</f>
        <v/>
      </c>
      <c r="AS49" s="10" t="str">
        <f>if(ISNUMBER($B49), VLOOKUP(AB49, mapping!$A$2:$B99,2,false),)</f>
        <v/>
      </c>
      <c r="AT49" s="10" t="str">
        <f t="shared" si="5"/>
        <v/>
      </c>
      <c r="AU49" s="10" t="str">
        <f>if(ISNUMBER($B49), VLOOKUP(AD49, mapping!$A$2:$B99,2,false),)</f>
        <v/>
      </c>
      <c r="AV49" s="10" t="str">
        <f t="shared" si="6"/>
        <v/>
      </c>
      <c r="AW49" s="10" t="str">
        <f>if(ISNUMBER($B49), VLOOKUP(AF49, mapping!$A$2:$B99,2,false),)</f>
        <v/>
      </c>
      <c r="AX49" s="10" t="str">
        <f t="shared" si="7"/>
        <v/>
      </c>
      <c r="AY49" s="10" t="str">
        <f>if(ISNUMBER($B49), VLOOKUP(AH49, mapping!$A$2:$B99,2,false),)</f>
        <v/>
      </c>
      <c r="AZ49" s="10" t="str">
        <f t="shared" si="8"/>
        <v/>
      </c>
      <c r="BA49" s="10" t="str">
        <f>if(ISNUMBER($B49), VLOOKUP(AJ49, mapping!$A$2:$B99,2,false),)</f>
        <v/>
      </c>
      <c r="BB49" s="10" t="str">
        <f t="shared" si="9"/>
        <v/>
      </c>
      <c r="BC49" s="10" t="str">
        <f>if(ISNUMBER($B49), VLOOKUP(AL49, mapping!$A$2:$B99,2,false),)</f>
        <v/>
      </c>
      <c r="BD49" s="10" t="str">
        <f t="shared" ref="BD49:BE49" si="56">if(ISNUMBER($B49), IF(AM49="Not Answered","-",AM49),)</f>
        <v/>
      </c>
      <c r="BE49" s="10" t="str">
        <f t="shared" si="56"/>
        <v/>
      </c>
    </row>
    <row r="50">
      <c r="AO50" s="5" t="str">
        <f t="shared" si="3"/>
        <v/>
      </c>
      <c r="AP50" s="5" t="str">
        <f t="shared" si="4"/>
        <v/>
      </c>
      <c r="AQ50" s="5" t="str">
        <f>IFERROR(__xludf.DUMMYFUNCTION("if(ISNUMBER(B50),FILTER(P50:AA50,REGEXMATCH(P50:AA50, ""Not Answered"")=FALSE),)"),"")</f>
        <v/>
      </c>
      <c r="AR50" s="5" t="str">
        <f>if(ISNUMBER($D50), VLOOKUP(AQ50, konsulenter!$A$1:$B99,2,false),)</f>
        <v/>
      </c>
      <c r="AS50" s="10" t="str">
        <f>if(ISNUMBER($B50), VLOOKUP(AB50, mapping!$A$2:$B99,2,false),)</f>
        <v/>
      </c>
      <c r="AT50" s="10" t="str">
        <f t="shared" si="5"/>
        <v/>
      </c>
      <c r="AU50" s="10" t="str">
        <f>if(ISNUMBER($B50), VLOOKUP(AD50, mapping!$A$2:$B99,2,false),)</f>
        <v/>
      </c>
      <c r="AV50" s="10" t="str">
        <f t="shared" si="6"/>
        <v/>
      </c>
      <c r="AW50" s="10" t="str">
        <f>if(ISNUMBER($B50), VLOOKUP(AF50, mapping!$A$2:$B99,2,false),)</f>
        <v/>
      </c>
      <c r="AX50" s="10" t="str">
        <f t="shared" si="7"/>
        <v/>
      </c>
      <c r="AY50" s="10" t="str">
        <f>if(ISNUMBER($B50), VLOOKUP(AH50, mapping!$A$2:$B99,2,false),)</f>
        <v/>
      </c>
      <c r="AZ50" s="10" t="str">
        <f t="shared" si="8"/>
        <v/>
      </c>
      <c r="BA50" s="10" t="str">
        <f>if(ISNUMBER($B50), VLOOKUP(AJ50, mapping!$A$2:$B99,2,false),)</f>
        <v/>
      </c>
      <c r="BB50" s="10" t="str">
        <f t="shared" si="9"/>
        <v/>
      </c>
      <c r="BC50" s="10" t="str">
        <f>if(ISNUMBER($B50), VLOOKUP(AL50, mapping!$A$2:$B99,2,false),)</f>
        <v/>
      </c>
      <c r="BD50" s="10" t="str">
        <f t="shared" ref="BD50:BE50" si="57">if(ISNUMBER($B50), IF(AM50="Not Answered","-",AM50),)</f>
        <v/>
      </c>
      <c r="BE50" s="10" t="str">
        <f t="shared" si="57"/>
        <v/>
      </c>
    </row>
    <row r="51">
      <c r="AO51" s="5" t="str">
        <f t="shared" si="3"/>
        <v/>
      </c>
      <c r="AP51" s="5" t="str">
        <f t="shared" si="4"/>
        <v/>
      </c>
      <c r="AQ51" s="5" t="str">
        <f>IFERROR(__xludf.DUMMYFUNCTION("if(ISNUMBER(B51),FILTER(P51:AA51,REGEXMATCH(P51:AA51, ""Not Answered"")=FALSE),)"),"")</f>
        <v/>
      </c>
      <c r="AR51" s="5" t="str">
        <f>if(ISNUMBER($D51), VLOOKUP(AQ51, konsulenter!$A$1:$B99,2,false),)</f>
        <v/>
      </c>
      <c r="AS51" s="10" t="str">
        <f>if(ISNUMBER($B51), VLOOKUP(AB51, mapping!$A$2:$B99,2,false),)</f>
        <v/>
      </c>
      <c r="AT51" s="10" t="str">
        <f t="shared" si="5"/>
        <v/>
      </c>
      <c r="AU51" s="10" t="str">
        <f>if(ISNUMBER($B51), VLOOKUP(AD51, mapping!$A$2:$B99,2,false),)</f>
        <v/>
      </c>
      <c r="AV51" s="10" t="str">
        <f t="shared" si="6"/>
        <v/>
      </c>
      <c r="AW51" s="10" t="str">
        <f>if(ISNUMBER($B51), VLOOKUP(AF51, mapping!$A$2:$B99,2,false),)</f>
        <v/>
      </c>
      <c r="AX51" s="10" t="str">
        <f t="shared" si="7"/>
        <v/>
      </c>
      <c r="AY51" s="10" t="str">
        <f>if(ISNUMBER($B51), VLOOKUP(AH51, mapping!$A$2:$B99,2,false),)</f>
        <v/>
      </c>
      <c r="AZ51" s="10" t="str">
        <f t="shared" si="8"/>
        <v/>
      </c>
      <c r="BA51" s="10" t="str">
        <f>if(ISNUMBER($B51), VLOOKUP(AJ51, mapping!$A$2:$B99,2,false),)</f>
        <v/>
      </c>
      <c r="BB51" s="10" t="str">
        <f t="shared" si="9"/>
        <v/>
      </c>
      <c r="BC51" s="10" t="str">
        <f>if(ISNUMBER($B51), VLOOKUP(AL51, mapping!$A$2:$B99,2,false),)</f>
        <v/>
      </c>
      <c r="BD51" s="10" t="str">
        <f t="shared" ref="BD51:BE51" si="58">if(ISNUMBER($B51), IF(AM51="Not Answered","-",AM51),)</f>
        <v/>
      </c>
      <c r="BE51" s="10" t="str">
        <f t="shared" si="58"/>
        <v/>
      </c>
    </row>
    <row r="52">
      <c r="AO52" s="5" t="str">
        <f t="shared" si="3"/>
        <v/>
      </c>
      <c r="AP52" s="5" t="str">
        <f t="shared" si="4"/>
        <v/>
      </c>
      <c r="AQ52" s="5" t="str">
        <f>IFERROR(__xludf.DUMMYFUNCTION("if(ISNUMBER(B52),FILTER(P52:AA52,REGEXMATCH(P52:AA52, ""Not Answered"")=FALSE),)"),"")</f>
        <v/>
      </c>
      <c r="AR52" s="5" t="str">
        <f>if(ISNUMBER($D52), VLOOKUP(AQ52, konsulenter!$A$1:$B99,2,false),)</f>
        <v/>
      </c>
      <c r="AS52" s="10" t="str">
        <f>if(ISNUMBER($B52), VLOOKUP(AB52, mapping!$A$2:$B99,2,false),)</f>
        <v/>
      </c>
      <c r="AT52" s="10" t="str">
        <f t="shared" si="5"/>
        <v/>
      </c>
      <c r="AU52" s="10" t="str">
        <f>if(ISNUMBER($B52), VLOOKUP(AD52, mapping!$A$2:$B99,2,false),)</f>
        <v/>
      </c>
      <c r="AV52" s="10" t="str">
        <f t="shared" si="6"/>
        <v/>
      </c>
      <c r="AW52" s="10" t="str">
        <f>if(ISNUMBER($B52), VLOOKUP(AF52, mapping!$A$2:$B99,2,false),)</f>
        <v/>
      </c>
      <c r="AX52" s="10" t="str">
        <f t="shared" si="7"/>
        <v/>
      </c>
      <c r="AY52" s="10" t="str">
        <f>if(ISNUMBER($B52), VLOOKUP(AH52, mapping!$A$2:$B99,2,false),)</f>
        <v/>
      </c>
      <c r="AZ52" s="10" t="str">
        <f t="shared" si="8"/>
        <v/>
      </c>
      <c r="BA52" s="10" t="str">
        <f>if(ISNUMBER($B52), VLOOKUP(AJ52, mapping!$A$2:$B99,2,false),)</f>
        <v/>
      </c>
      <c r="BB52" s="10" t="str">
        <f t="shared" si="9"/>
        <v/>
      </c>
      <c r="BC52" s="10" t="str">
        <f>if(ISNUMBER($B52), VLOOKUP(AL52, mapping!$A$2:$B99,2,false),)</f>
        <v/>
      </c>
      <c r="BD52" s="10" t="str">
        <f t="shared" ref="BD52:BE52" si="59">if(ISNUMBER($B52), IF(AM52="Not Answered","-",AM52),)</f>
        <v/>
      </c>
      <c r="BE52" s="10" t="str">
        <f t="shared" si="59"/>
        <v/>
      </c>
    </row>
    <row r="53">
      <c r="AO53" s="5" t="str">
        <f t="shared" si="3"/>
        <v/>
      </c>
      <c r="AP53" s="5" t="str">
        <f t="shared" si="4"/>
        <v/>
      </c>
      <c r="AQ53" s="5" t="str">
        <f>IFERROR(__xludf.DUMMYFUNCTION("if(ISNUMBER(B53),FILTER(P53:AA53,REGEXMATCH(P53:AA53, ""Not Answered"")=FALSE),)"),"")</f>
        <v/>
      </c>
      <c r="AR53" s="5" t="str">
        <f>if(ISNUMBER($D53), VLOOKUP(AQ53, konsulenter!$A$1:$B99,2,false),)</f>
        <v/>
      </c>
      <c r="AS53" s="10" t="str">
        <f>if(ISNUMBER($B53), VLOOKUP(AB53, mapping!$A$2:$B99,2,false),)</f>
        <v/>
      </c>
      <c r="AT53" s="10" t="str">
        <f t="shared" si="5"/>
        <v/>
      </c>
      <c r="AU53" s="10" t="str">
        <f>if(ISNUMBER($B53), VLOOKUP(AD53, mapping!$A$2:$B99,2,false),)</f>
        <v/>
      </c>
      <c r="AV53" s="10" t="str">
        <f t="shared" si="6"/>
        <v/>
      </c>
      <c r="AW53" s="10" t="str">
        <f>if(ISNUMBER($B53), VLOOKUP(AF53, mapping!$A$2:$B99,2,false),)</f>
        <v/>
      </c>
      <c r="AX53" s="10" t="str">
        <f t="shared" si="7"/>
        <v/>
      </c>
      <c r="AY53" s="10" t="str">
        <f>if(ISNUMBER($B53), VLOOKUP(AH53, mapping!$A$2:$B99,2,false),)</f>
        <v/>
      </c>
      <c r="AZ53" s="10" t="str">
        <f t="shared" si="8"/>
        <v/>
      </c>
      <c r="BA53" s="10" t="str">
        <f>if(ISNUMBER($B53), VLOOKUP(AJ53, mapping!$A$2:$B99,2,false),)</f>
        <v/>
      </c>
      <c r="BB53" s="10" t="str">
        <f t="shared" si="9"/>
        <v/>
      </c>
      <c r="BC53" s="10" t="str">
        <f>if(ISNUMBER($B53), VLOOKUP(AL53, mapping!$A$2:$B99,2,false),)</f>
        <v/>
      </c>
      <c r="BD53" s="10" t="str">
        <f t="shared" ref="BD53:BE53" si="60">if(ISNUMBER($B53), IF(AM53="Not Answered","-",AM53),)</f>
        <v/>
      </c>
      <c r="BE53" s="10" t="str">
        <f t="shared" si="60"/>
        <v/>
      </c>
    </row>
    <row r="54">
      <c r="AO54" s="5" t="str">
        <f t="shared" si="3"/>
        <v/>
      </c>
      <c r="AP54" s="5" t="str">
        <f t="shared" si="4"/>
        <v/>
      </c>
      <c r="AQ54" s="5" t="str">
        <f>IFERROR(__xludf.DUMMYFUNCTION("if(ISNUMBER(B54),FILTER(P54:AA54,REGEXMATCH(P54:AA54, ""Not Answered"")=FALSE),)"),"")</f>
        <v/>
      </c>
      <c r="AR54" s="5" t="str">
        <f>if(ISNUMBER($D54), VLOOKUP(AQ54, konsulenter!$A$1:$B99,2,false),)</f>
        <v/>
      </c>
      <c r="AS54" s="10" t="str">
        <f>if(ISNUMBER($B54), VLOOKUP(AB54, mapping!$A$2:$B99,2,false),)</f>
        <v/>
      </c>
      <c r="AT54" s="10" t="str">
        <f t="shared" si="5"/>
        <v/>
      </c>
      <c r="AU54" s="10" t="str">
        <f>if(ISNUMBER($B54), VLOOKUP(AD54, mapping!$A$2:$B99,2,false),)</f>
        <v/>
      </c>
      <c r="AV54" s="10" t="str">
        <f t="shared" si="6"/>
        <v/>
      </c>
      <c r="AW54" s="10" t="str">
        <f>if(ISNUMBER($B54), VLOOKUP(AF54, mapping!$A$2:$B99,2,false),)</f>
        <v/>
      </c>
      <c r="AX54" s="10" t="str">
        <f t="shared" si="7"/>
        <v/>
      </c>
      <c r="AY54" s="10" t="str">
        <f>if(ISNUMBER($B54), VLOOKUP(AH54, mapping!$A$2:$B99,2,false),)</f>
        <v/>
      </c>
      <c r="AZ54" s="10" t="str">
        <f t="shared" si="8"/>
        <v/>
      </c>
      <c r="BA54" s="10" t="str">
        <f>if(ISNUMBER($B54), VLOOKUP(AJ54, mapping!$A$2:$B99,2,false),)</f>
        <v/>
      </c>
      <c r="BB54" s="10" t="str">
        <f t="shared" si="9"/>
        <v/>
      </c>
      <c r="BC54" s="10" t="str">
        <f>if(ISNUMBER($B54), VLOOKUP(AL54, mapping!$A$2:$B99,2,false),)</f>
        <v/>
      </c>
      <c r="BD54" s="10" t="str">
        <f t="shared" ref="BD54:BE54" si="61">if(ISNUMBER($B54), IF(AM54="Not Answered","-",AM54),)</f>
        <v/>
      </c>
      <c r="BE54" s="10" t="str">
        <f t="shared" si="61"/>
        <v/>
      </c>
    </row>
    <row r="55">
      <c r="AO55" s="5" t="str">
        <f t="shared" si="3"/>
        <v/>
      </c>
      <c r="AP55" s="5" t="str">
        <f t="shared" si="4"/>
        <v/>
      </c>
      <c r="AQ55" s="5" t="str">
        <f>IFERROR(__xludf.DUMMYFUNCTION("if(ISNUMBER(B55),FILTER(P55:AA55,REGEXMATCH(P55:AA55, ""Not Answered"")=FALSE),)"),"")</f>
        <v/>
      </c>
      <c r="AR55" s="5" t="str">
        <f>if(ISNUMBER($D55), VLOOKUP(AQ55, konsulenter!$A$1:$B99,2,false),)</f>
        <v/>
      </c>
      <c r="AS55" s="10" t="str">
        <f>if(ISNUMBER($B55), VLOOKUP(AB55, mapping!$A$2:$B99,2,false),)</f>
        <v/>
      </c>
      <c r="AT55" s="10" t="str">
        <f t="shared" si="5"/>
        <v/>
      </c>
      <c r="AU55" s="10" t="str">
        <f>if(ISNUMBER($B55), VLOOKUP(AD55, mapping!$A$2:$B99,2,false),)</f>
        <v/>
      </c>
      <c r="AV55" s="10" t="str">
        <f t="shared" si="6"/>
        <v/>
      </c>
      <c r="AW55" s="10" t="str">
        <f>if(ISNUMBER($B55), VLOOKUP(AF55, mapping!$A$2:$B99,2,false),)</f>
        <v/>
      </c>
      <c r="AX55" s="10" t="str">
        <f t="shared" si="7"/>
        <v/>
      </c>
      <c r="AY55" s="10" t="str">
        <f>if(ISNUMBER($B55), VLOOKUP(AH55, mapping!$A$2:$B99,2,false),)</f>
        <v/>
      </c>
      <c r="AZ55" s="10" t="str">
        <f t="shared" si="8"/>
        <v/>
      </c>
      <c r="BA55" s="10" t="str">
        <f>if(ISNUMBER($B55), VLOOKUP(AJ55, mapping!$A$2:$B99,2,false),)</f>
        <v/>
      </c>
      <c r="BB55" s="10" t="str">
        <f t="shared" si="9"/>
        <v/>
      </c>
      <c r="BC55" s="10" t="str">
        <f>if(ISNUMBER($B55), VLOOKUP(AL55, mapping!$A$2:$B99,2,false),)</f>
        <v/>
      </c>
      <c r="BD55" s="10" t="str">
        <f t="shared" ref="BD55:BE55" si="62">if(ISNUMBER($B55), IF(AM55="Not Answered","-",AM55),)</f>
        <v/>
      </c>
      <c r="BE55" s="10" t="str">
        <f t="shared" si="62"/>
        <v/>
      </c>
    </row>
    <row r="56">
      <c r="AO56" s="5" t="str">
        <f t="shared" si="3"/>
        <v/>
      </c>
      <c r="AP56" s="5" t="str">
        <f t="shared" si="4"/>
        <v/>
      </c>
      <c r="AQ56" s="5" t="str">
        <f>IFERROR(__xludf.DUMMYFUNCTION("if(ISNUMBER(B56),FILTER(P56:AA56,REGEXMATCH(P56:AA56, ""Not Answered"")=FALSE),)"),"")</f>
        <v/>
      </c>
      <c r="AR56" s="5" t="str">
        <f>if(ISNUMBER($D56), VLOOKUP(AQ56, konsulenter!$A$1:$B99,2,false),)</f>
        <v/>
      </c>
      <c r="AS56" s="10" t="str">
        <f>if(ISNUMBER($B56), VLOOKUP(AB56, mapping!$A$2:$B99,2,false),)</f>
        <v/>
      </c>
      <c r="AT56" s="10" t="str">
        <f t="shared" si="5"/>
        <v/>
      </c>
      <c r="AU56" s="10" t="str">
        <f>if(ISNUMBER($B56), VLOOKUP(AD56, mapping!$A$2:$B99,2,false),)</f>
        <v/>
      </c>
      <c r="AV56" s="10" t="str">
        <f t="shared" si="6"/>
        <v/>
      </c>
      <c r="AW56" s="10" t="str">
        <f>if(ISNUMBER($B56), VLOOKUP(AF56, mapping!$A$2:$B99,2,false),)</f>
        <v/>
      </c>
      <c r="AX56" s="10" t="str">
        <f t="shared" si="7"/>
        <v/>
      </c>
      <c r="AY56" s="10" t="str">
        <f>if(ISNUMBER($B56), VLOOKUP(AH56, mapping!$A$2:$B99,2,false),)</f>
        <v/>
      </c>
      <c r="AZ56" s="10" t="str">
        <f t="shared" si="8"/>
        <v/>
      </c>
      <c r="BA56" s="10" t="str">
        <f>if(ISNUMBER($B56), VLOOKUP(AJ56, mapping!$A$2:$B99,2,false),)</f>
        <v/>
      </c>
      <c r="BB56" s="10" t="str">
        <f t="shared" si="9"/>
        <v/>
      </c>
      <c r="BC56" s="10" t="str">
        <f>if(ISNUMBER($B56), VLOOKUP(AL56, mapping!$A$2:$B99,2,false),)</f>
        <v/>
      </c>
      <c r="BD56" s="10" t="str">
        <f t="shared" ref="BD56:BE56" si="63">if(ISNUMBER($B56), IF(AM56="Not Answered","-",AM56),)</f>
        <v/>
      </c>
      <c r="BE56" s="10" t="str">
        <f t="shared" si="63"/>
        <v/>
      </c>
    </row>
    <row r="57">
      <c r="AO57" s="5" t="str">
        <f t="shared" si="3"/>
        <v/>
      </c>
      <c r="AP57" s="5" t="str">
        <f t="shared" si="4"/>
        <v/>
      </c>
      <c r="AQ57" s="5" t="str">
        <f>IFERROR(__xludf.DUMMYFUNCTION("if(ISNUMBER(B57),FILTER(P57:AA57,REGEXMATCH(P57:AA57, ""Not Answered"")=FALSE),)"),"")</f>
        <v/>
      </c>
      <c r="AR57" s="5" t="str">
        <f>if(ISNUMBER($D57), VLOOKUP(AQ57, konsulenter!$A$1:$B99,2,false),)</f>
        <v/>
      </c>
      <c r="AS57" s="10" t="str">
        <f>if(ISNUMBER($B57), VLOOKUP(AB57, mapping!$A$2:$B99,2,false),)</f>
        <v/>
      </c>
      <c r="AT57" s="10" t="str">
        <f t="shared" si="5"/>
        <v/>
      </c>
      <c r="AU57" s="10" t="str">
        <f>if(ISNUMBER($B57), VLOOKUP(AD57, mapping!$A$2:$B99,2,false),)</f>
        <v/>
      </c>
      <c r="AV57" s="10" t="str">
        <f t="shared" si="6"/>
        <v/>
      </c>
      <c r="AW57" s="10" t="str">
        <f>if(ISNUMBER($B57), VLOOKUP(AF57, mapping!$A$2:$B99,2,false),)</f>
        <v/>
      </c>
      <c r="AX57" s="10" t="str">
        <f t="shared" si="7"/>
        <v/>
      </c>
      <c r="AY57" s="10" t="str">
        <f>if(ISNUMBER($B57), VLOOKUP(AH57, mapping!$A$2:$B99,2,false),)</f>
        <v/>
      </c>
      <c r="AZ57" s="10" t="str">
        <f t="shared" si="8"/>
        <v/>
      </c>
      <c r="BA57" s="10" t="str">
        <f>if(ISNUMBER($B57), VLOOKUP(AJ57, mapping!$A$2:$B99,2,false),)</f>
        <v/>
      </c>
      <c r="BB57" s="10" t="str">
        <f t="shared" si="9"/>
        <v/>
      </c>
      <c r="BC57" s="10" t="str">
        <f>if(ISNUMBER($B57), VLOOKUP(AL57, mapping!$A$2:$B99,2,false),)</f>
        <v/>
      </c>
      <c r="BD57" s="10" t="str">
        <f t="shared" ref="BD57:BE57" si="64">if(ISNUMBER($B57), IF(AM57="Not Answered","-",AM57),)</f>
        <v/>
      </c>
      <c r="BE57" s="10" t="str">
        <f t="shared" si="64"/>
        <v/>
      </c>
    </row>
    <row r="58">
      <c r="AO58" s="5" t="str">
        <f t="shared" si="3"/>
        <v/>
      </c>
      <c r="AP58" s="5" t="str">
        <f t="shared" si="4"/>
        <v/>
      </c>
      <c r="AQ58" s="5" t="str">
        <f>IFERROR(__xludf.DUMMYFUNCTION("if(ISNUMBER(B58),FILTER(P58:AA58,REGEXMATCH(P58:AA58, ""Not Answered"")=FALSE),)"),"")</f>
        <v/>
      </c>
      <c r="AR58" s="5" t="str">
        <f>if(ISNUMBER($D58), VLOOKUP(AQ58, konsulenter!$A$1:$B99,2,false),)</f>
        <v/>
      </c>
      <c r="AS58" s="10" t="str">
        <f>if(ISNUMBER($B58), VLOOKUP(AB58, mapping!$A$2:$B99,2,false),)</f>
        <v/>
      </c>
      <c r="AT58" s="10" t="str">
        <f t="shared" si="5"/>
        <v/>
      </c>
      <c r="AU58" s="10" t="str">
        <f>if(ISNUMBER($B58), VLOOKUP(AD58, mapping!$A$2:$B99,2,false),)</f>
        <v/>
      </c>
      <c r="AV58" s="10" t="str">
        <f t="shared" si="6"/>
        <v/>
      </c>
      <c r="AW58" s="10" t="str">
        <f>if(ISNUMBER($B58), VLOOKUP(AF58, mapping!$A$2:$B99,2,false),)</f>
        <v/>
      </c>
      <c r="AX58" s="10" t="str">
        <f t="shared" si="7"/>
        <v/>
      </c>
      <c r="AY58" s="10" t="str">
        <f>if(ISNUMBER($B58), VLOOKUP(AH58, mapping!$A$2:$B99,2,false),)</f>
        <v/>
      </c>
      <c r="AZ58" s="10" t="str">
        <f t="shared" si="8"/>
        <v/>
      </c>
      <c r="BA58" s="10" t="str">
        <f>if(ISNUMBER($B58), VLOOKUP(AJ58, mapping!$A$2:$B99,2,false),)</f>
        <v/>
      </c>
      <c r="BB58" s="10" t="str">
        <f t="shared" si="9"/>
        <v/>
      </c>
      <c r="BC58" s="10" t="str">
        <f>if(ISNUMBER($B58), VLOOKUP(AL58, mapping!$A$2:$B99,2,false),)</f>
        <v/>
      </c>
      <c r="BD58" s="10" t="str">
        <f t="shared" ref="BD58:BE58" si="65">if(ISNUMBER($B58), IF(AM58="Not Answered","-",AM58),)</f>
        <v/>
      </c>
      <c r="BE58" s="10" t="str">
        <f t="shared" si="65"/>
        <v/>
      </c>
    </row>
    <row r="59">
      <c r="AO59" s="5" t="str">
        <f t="shared" si="3"/>
        <v/>
      </c>
      <c r="AP59" s="5" t="str">
        <f t="shared" si="4"/>
        <v/>
      </c>
      <c r="AQ59" s="5" t="str">
        <f>IFERROR(__xludf.DUMMYFUNCTION("if(ISNUMBER(B59),FILTER(P59:AA59,REGEXMATCH(P59:AA59, ""Not Answered"")=FALSE),)"),"")</f>
        <v/>
      </c>
      <c r="AR59" s="5" t="str">
        <f>if(ISNUMBER($D59), VLOOKUP(AQ59, konsulenter!$A$1:$B99,2,false),)</f>
        <v/>
      </c>
      <c r="AS59" s="10" t="str">
        <f>if(ISNUMBER($B59), VLOOKUP(AB59, mapping!$A$2:$B99,2,false),)</f>
        <v/>
      </c>
      <c r="AT59" s="10" t="str">
        <f t="shared" si="5"/>
        <v/>
      </c>
      <c r="AU59" s="10" t="str">
        <f>if(ISNUMBER($B59), VLOOKUP(AD59, mapping!$A$2:$B99,2,false),)</f>
        <v/>
      </c>
      <c r="AV59" s="10" t="str">
        <f t="shared" si="6"/>
        <v/>
      </c>
      <c r="AW59" s="10" t="str">
        <f>if(ISNUMBER($B59), VLOOKUP(AF59, mapping!$A$2:$B99,2,false),)</f>
        <v/>
      </c>
      <c r="AX59" s="10" t="str">
        <f t="shared" si="7"/>
        <v/>
      </c>
      <c r="AY59" s="10" t="str">
        <f>if(ISNUMBER($B59), VLOOKUP(AH59, mapping!$A$2:$B99,2,false),)</f>
        <v/>
      </c>
      <c r="AZ59" s="10" t="str">
        <f t="shared" si="8"/>
        <v/>
      </c>
      <c r="BA59" s="10" t="str">
        <f>if(ISNUMBER($B59), VLOOKUP(AJ59, mapping!$A$2:$B99,2,false),)</f>
        <v/>
      </c>
      <c r="BB59" s="10" t="str">
        <f t="shared" si="9"/>
        <v/>
      </c>
      <c r="BC59" s="10" t="str">
        <f>if(ISNUMBER($B59), VLOOKUP(AL59, mapping!$A$2:$B99,2,false),)</f>
        <v/>
      </c>
      <c r="BD59" s="10" t="str">
        <f t="shared" ref="BD59:BE59" si="66">if(ISNUMBER($B59), IF(AM59="Not Answered","-",AM59),)</f>
        <v/>
      </c>
      <c r="BE59" s="10" t="str">
        <f t="shared" si="66"/>
        <v/>
      </c>
    </row>
    <row r="60">
      <c r="AO60" s="5" t="str">
        <f t="shared" si="3"/>
        <v/>
      </c>
      <c r="AP60" s="5" t="str">
        <f t="shared" si="4"/>
        <v/>
      </c>
      <c r="AQ60" s="5" t="str">
        <f>IFERROR(__xludf.DUMMYFUNCTION("if(ISNUMBER(B60),FILTER(P60:AA60,REGEXMATCH(P60:AA60, ""Not Answered"")=FALSE),)"),"")</f>
        <v/>
      </c>
      <c r="AR60" s="5" t="str">
        <f>if(ISNUMBER($D60), VLOOKUP(AQ60, konsulenter!$A$1:$B99,2,false),)</f>
        <v/>
      </c>
      <c r="AS60" s="10" t="str">
        <f>if(ISNUMBER($B60), VLOOKUP(AB60, mapping!$A$2:$B99,2,false),)</f>
        <v/>
      </c>
      <c r="AT60" s="10" t="str">
        <f t="shared" si="5"/>
        <v/>
      </c>
      <c r="AU60" s="10" t="str">
        <f>if(ISNUMBER($B60), VLOOKUP(AD60, mapping!$A$2:$B99,2,false),)</f>
        <v/>
      </c>
      <c r="AV60" s="10" t="str">
        <f t="shared" si="6"/>
        <v/>
      </c>
      <c r="AW60" s="10" t="str">
        <f>if(ISNUMBER($B60), VLOOKUP(AF60, mapping!$A$2:$B99,2,false),)</f>
        <v/>
      </c>
      <c r="AX60" s="10" t="str">
        <f t="shared" si="7"/>
        <v/>
      </c>
      <c r="AY60" s="10" t="str">
        <f>if(ISNUMBER($B60), VLOOKUP(AH60, mapping!$A$2:$B99,2,false),)</f>
        <v/>
      </c>
      <c r="AZ60" s="10" t="str">
        <f t="shared" si="8"/>
        <v/>
      </c>
      <c r="BA60" s="10" t="str">
        <f>if(ISNUMBER($B60), VLOOKUP(AJ60, mapping!$A$2:$B99,2,false),)</f>
        <v/>
      </c>
      <c r="BB60" s="10" t="str">
        <f t="shared" si="9"/>
        <v/>
      </c>
      <c r="BC60" s="10" t="str">
        <f>if(ISNUMBER($B60), VLOOKUP(AL60, mapping!$A$2:$B99,2,false),)</f>
        <v/>
      </c>
      <c r="BD60" s="10" t="str">
        <f t="shared" ref="BD60:BE60" si="67">if(ISNUMBER($B60), IF(AM60="Not Answered","-",AM60),)</f>
        <v/>
      </c>
      <c r="BE60" s="10" t="str">
        <f t="shared" si="67"/>
        <v/>
      </c>
    </row>
    <row r="61">
      <c r="AO61" s="5" t="str">
        <f t="shared" si="3"/>
        <v/>
      </c>
      <c r="AP61" s="5" t="str">
        <f t="shared" si="4"/>
        <v/>
      </c>
      <c r="AQ61" s="5" t="str">
        <f>IFERROR(__xludf.DUMMYFUNCTION("if(ISNUMBER(B61),FILTER(P61:AA61,REGEXMATCH(P61:AA61, ""Not Answered"")=FALSE),)"),"")</f>
        <v/>
      </c>
      <c r="AR61" s="5" t="str">
        <f>if(ISNUMBER($D61), VLOOKUP(AQ61, konsulenter!$A$1:$B99,2,false),)</f>
        <v/>
      </c>
      <c r="AS61" s="10" t="str">
        <f>if(ISNUMBER($B61), VLOOKUP(AB61, mapping!$A$2:$B99,2,false),)</f>
        <v/>
      </c>
      <c r="AT61" s="10" t="str">
        <f t="shared" si="5"/>
        <v/>
      </c>
      <c r="AU61" s="10" t="str">
        <f>if(ISNUMBER($B61), VLOOKUP(AD61, mapping!$A$2:$B99,2,false),)</f>
        <v/>
      </c>
      <c r="AV61" s="10" t="str">
        <f t="shared" si="6"/>
        <v/>
      </c>
      <c r="AW61" s="10" t="str">
        <f>if(ISNUMBER($B61), VLOOKUP(AF61, mapping!$A$2:$B99,2,false),)</f>
        <v/>
      </c>
      <c r="AX61" s="10" t="str">
        <f t="shared" si="7"/>
        <v/>
      </c>
      <c r="AY61" s="10" t="str">
        <f>if(ISNUMBER($B61), VLOOKUP(AH61, mapping!$A$2:$B99,2,false),)</f>
        <v/>
      </c>
      <c r="AZ61" s="10" t="str">
        <f t="shared" si="8"/>
        <v/>
      </c>
      <c r="BA61" s="10" t="str">
        <f>if(ISNUMBER($B61), VLOOKUP(AJ61, mapping!$A$2:$B99,2,false),)</f>
        <v/>
      </c>
      <c r="BB61" s="10" t="str">
        <f t="shared" si="9"/>
        <v/>
      </c>
      <c r="BC61" s="10" t="str">
        <f>if(ISNUMBER($B61), VLOOKUP(AL61, mapping!$A$2:$B99,2,false),)</f>
        <v/>
      </c>
      <c r="BD61" s="10" t="str">
        <f t="shared" ref="BD61:BE61" si="68">if(ISNUMBER($B61), IF(AM61="Not Answered","-",AM61),)</f>
        <v/>
      </c>
      <c r="BE61" s="10" t="str">
        <f t="shared" si="68"/>
        <v/>
      </c>
    </row>
    <row r="62">
      <c r="AO62" s="5" t="str">
        <f t="shared" si="3"/>
        <v/>
      </c>
      <c r="AP62" s="5" t="str">
        <f t="shared" si="4"/>
        <v/>
      </c>
      <c r="AQ62" s="5" t="str">
        <f>IFERROR(__xludf.DUMMYFUNCTION("if(ISNUMBER(B62),FILTER(P62:AA62,REGEXMATCH(P62:AA62, ""Not Answered"")=FALSE),)"),"")</f>
        <v/>
      </c>
      <c r="AR62" s="5" t="str">
        <f>if(ISNUMBER($D62), VLOOKUP(AQ62, konsulenter!$A$1:$B99,2,false),)</f>
        <v/>
      </c>
      <c r="AS62" s="10" t="str">
        <f>if(ISNUMBER($B62), VLOOKUP(AB62, mapping!$A$2:$B99,2,false),)</f>
        <v/>
      </c>
      <c r="AT62" s="10" t="str">
        <f t="shared" si="5"/>
        <v/>
      </c>
      <c r="AU62" s="10" t="str">
        <f>if(ISNUMBER($B62), VLOOKUP(AD62, mapping!$A$2:$B99,2,false),)</f>
        <v/>
      </c>
      <c r="AV62" s="10" t="str">
        <f t="shared" si="6"/>
        <v/>
      </c>
      <c r="AW62" s="10" t="str">
        <f>if(ISNUMBER($B62), VLOOKUP(AF62, mapping!$A$2:$B99,2,false),)</f>
        <v/>
      </c>
      <c r="AX62" s="10" t="str">
        <f t="shared" si="7"/>
        <v/>
      </c>
      <c r="AY62" s="10" t="str">
        <f>if(ISNUMBER($B62), VLOOKUP(AH62, mapping!$A$2:$B99,2,false),)</f>
        <v/>
      </c>
      <c r="AZ62" s="10" t="str">
        <f t="shared" si="8"/>
        <v/>
      </c>
      <c r="BA62" s="10" t="str">
        <f>if(ISNUMBER($B62), VLOOKUP(AJ62, mapping!$A$2:$B99,2,false),)</f>
        <v/>
      </c>
      <c r="BB62" s="10" t="str">
        <f t="shared" si="9"/>
        <v/>
      </c>
      <c r="BC62" s="10" t="str">
        <f>if(ISNUMBER($B62), VLOOKUP(AL62, mapping!$A$2:$B99,2,false),)</f>
        <v/>
      </c>
      <c r="BD62" s="10" t="str">
        <f t="shared" ref="BD62:BE62" si="69">if(ISNUMBER($B62), IF(AM62="Not Answered","-",AM62),)</f>
        <v/>
      </c>
      <c r="BE62" s="10" t="str">
        <f t="shared" si="69"/>
        <v/>
      </c>
    </row>
    <row r="63">
      <c r="AO63" s="5" t="str">
        <f t="shared" si="3"/>
        <v/>
      </c>
      <c r="AP63" s="5" t="str">
        <f t="shared" si="4"/>
        <v/>
      </c>
      <c r="AQ63" s="5" t="str">
        <f>IFERROR(__xludf.DUMMYFUNCTION("if(ISNUMBER(B63),FILTER(P63:AA63,REGEXMATCH(P63:AA63, ""Not Answered"")=FALSE),)"),"")</f>
        <v/>
      </c>
      <c r="AR63" s="5" t="str">
        <f>if(ISNUMBER($D63), VLOOKUP(AQ63, konsulenter!$A$1:$B99,2,false),)</f>
        <v/>
      </c>
      <c r="AS63" s="10" t="str">
        <f>if(ISNUMBER($B63), VLOOKUP(AB63, mapping!$A$2:$B99,2,false),)</f>
        <v/>
      </c>
      <c r="AT63" s="10" t="str">
        <f t="shared" si="5"/>
        <v/>
      </c>
      <c r="AU63" s="10" t="str">
        <f>if(ISNUMBER($B63), VLOOKUP(AD63, mapping!$A$2:$B99,2,false),)</f>
        <v/>
      </c>
      <c r="AV63" s="10" t="str">
        <f t="shared" si="6"/>
        <v/>
      </c>
      <c r="AW63" s="10" t="str">
        <f>if(ISNUMBER($B63), VLOOKUP(AF63, mapping!$A$2:$B99,2,false),)</f>
        <v/>
      </c>
      <c r="AX63" s="10" t="str">
        <f t="shared" si="7"/>
        <v/>
      </c>
      <c r="AY63" s="10" t="str">
        <f>if(ISNUMBER($B63), VLOOKUP(AH63, mapping!$A$2:$B99,2,false),)</f>
        <v/>
      </c>
      <c r="AZ63" s="10" t="str">
        <f t="shared" si="8"/>
        <v/>
      </c>
      <c r="BA63" s="10" t="str">
        <f>if(ISNUMBER($B63), VLOOKUP(AJ63, mapping!$A$2:$B99,2,false),)</f>
        <v/>
      </c>
      <c r="BB63" s="10" t="str">
        <f t="shared" si="9"/>
        <v/>
      </c>
      <c r="BC63" s="10" t="str">
        <f>if(ISNUMBER($B63), VLOOKUP(AL63, mapping!$A$2:$B99,2,false),)</f>
        <v/>
      </c>
      <c r="BD63" s="10" t="str">
        <f t="shared" ref="BD63:BE63" si="70">if(ISNUMBER($B63), IF(AM63="Not Answered","-",AM63),)</f>
        <v/>
      </c>
      <c r="BE63" s="10" t="str">
        <f t="shared" si="70"/>
        <v/>
      </c>
    </row>
    <row r="64">
      <c r="AO64" s="5" t="str">
        <f t="shared" si="3"/>
        <v/>
      </c>
      <c r="AP64" s="5" t="str">
        <f t="shared" si="4"/>
        <v/>
      </c>
      <c r="AQ64" s="5" t="str">
        <f>IFERROR(__xludf.DUMMYFUNCTION("if(ISNUMBER(B64),FILTER(P64:AA64,REGEXMATCH(P64:AA64, ""Not Answered"")=FALSE),)"),"")</f>
        <v/>
      </c>
      <c r="AR64" s="5" t="str">
        <f>if(ISNUMBER($D64), VLOOKUP(AQ64, konsulenter!$A$1:$B99,2,false),)</f>
        <v/>
      </c>
      <c r="AS64" s="10" t="str">
        <f>if(ISNUMBER($B64), VLOOKUP(AB64, mapping!$A$2:$B99,2,false),)</f>
        <v/>
      </c>
      <c r="AT64" s="10" t="str">
        <f t="shared" si="5"/>
        <v/>
      </c>
      <c r="AU64" s="10" t="str">
        <f>if(ISNUMBER($B64), VLOOKUP(AD64, mapping!$A$2:$B99,2,false),)</f>
        <v/>
      </c>
      <c r="AV64" s="10" t="str">
        <f t="shared" si="6"/>
        <v/>
      </c>
      <c r="AW64" s="10" t="str">
        <f>if(ISNUMBER($B64), VLOOKUP(AF64, mapping!$A$2:$B99,2,false),)</f>
        <v/>
      </c>
      <c r="AX64" s="10" t="str">
        <f t="shared" si="7"/>
        <v/>
      </c>
      <c r="AY64" s="10" t="str">
        <f>if(ISNUMBER($B64), VLOOKUP(AH64, mapping!$A$2:$B99,2,false),)</f>
        <v/>
      </c>
      <c r="AZ64" s="10" t="str">
        <f t="shared" si="8"/>
        <v/>
      </c>
      <c r="BA64" s="10" t="str">
        <f>if(ISNUMBER($B64), VLOOKUP(AJ64, mapping!$A$2:$B99,2,false),)</f>
        <v/>
      </c>
      <c r="BB64" s="10" t="str">
        <f t="shared" si="9"/>
        <v/>
      </c>
      <c r="BC64" s="10" t="str">
        <f>if(ISNUMBER($B64), VLOOKUP(AL64, mapping!$A$2:$B99,2,false),)</f>
        <v/>
      </c>
      <c r="BD64" s="10" t="str">
        <f t="shared" ref="BD64:BE64" si="71">if(ISNUMBER($B64), IF(AM64="Not Answered","-",AM64),)</f>
        <v/>
      </c>
      <c r="BE64" s="10" t="str">
        <f t="shared" si="71"/>
        <v/>
      </c>
    </row>
    <row r="65">
      <c r="AO65" s="5" t="str">
        <f t="shared" si="3"/>
        <v/>
      </c>
      <c r="AP65" s="5" t="str">
        <f t="shared" si="4"/>
        <v/>
      </c>
      <c r="AQ65" s="5" t="str">
        <f>IFERROR(__xludf.DUMMYFUNCTION("if(ISNUMBER(B65),FILTER(P65:AA65,REGEXMATCH(P65:AA65, ""Not Answered"")=FALSE),)"),"")</f>
        <v/>
      </c>
      <c r="AR65" s="5" t="str">
        <f>if(ISNUMBER($D65), VLOOKUP(AQ65, konsulenter!$A$1:$B99,2,false),)</f>
        <v/>
      </c>
      <c r="AS65" s="10" t="str">
        <f>if(ISNUMBER($B65), VLOOKUP(AB65, mapping!$A$2:$B99,2,false),)</f>
        <v/>
      </c>
      <c r="AT65" s="10" t="str">
        <f t="shared" si="5"/>
        <v/>
      </c>
      <c r="AU65" s="10" t="str">
        <f>if(ISNUMBER($B65), VLOOKUP(AD65, mapping!$A$2:$B99,2,false),)</f>
        <v/>
      </c>
      <c r="AV65" s="10" t="str">
        <f t="shared" si="6"/>
        <v/>
      </c>
      <c r="AW65" s="10" t="str">
        <f>if(ISNUMBER($B65), VLOOKUP(AF65, mapping!$A$2:$B99,2,false),)</f>
        <v/>
      </c>
      <c r="AX65" s="10" t="str">
        <f t="shared" si="7"/>
        <v/>
      </c>
      <c r="AY65" s="10" t="str">
        <f>if(ISNUMBER($B65), VLOOKUP(AH65, mapping!$A$2:$B99,2,false),)</f>
        <v/>
      </c>
      <c r="AZ65" s="10" t="str">
        <f t="shared" si="8"/>
        <v/>
      </c>
      <c r="BA65" s="10" t="str">
        <f>if(ISNUMBER($B65), VLOOKUP(AJ65, mapping!$A$2:$B99,2,false),)</f>
        <v/>
      </c>
      <c r="BB65" s="10" t="str">
        <f t="shared" si="9"/>
        <v/>
      </c>
      <c r="BC65" s="10" t="str">
        <f>if(ISNUMBER($B65), VLOOKUP(AL65, mapping!$A$2:$B99,2,false),)</f>
        <v/>
      </c>
      <c r="BD65" s="10" t="str">
        <f t="shared" ref="BD65:BE65" si="72">if(ISNUMBER($B65), IF(AM65="Not Answered","-",AM65),)</f>
        <v/>
      </c>
      <c r="BE65" s="10" t="str">
        <f t="shared" si="72"/>
        <v/>
      </c>
    </row>
    <row r="66">
      <c r="AO66" s="5" t="str">
        <f t="shared" si="3"/>
        <v/>
      </c>
      <c r="AP66" s="5" t="str">
        <f t="shared" si="4"/>
        <v/>
      </c>
      <c r="AQ66" s="5" t="str">
        <f>IFERROR(__xludf.DUMMYFUNCTION("if(ISNUMBER(B66),FILTER(P66:AA66,REGEXMATCH(P66:AA66, ""Not Answered"")=FALSE),)"),"")</f>
        <v/>
      </c>
      <c r="AR66" s="5" t="str">
        <f>if(ISNUMBER($D66), VLOOKUP(AQ66, konsulenter!$A$1:$B99,2,false),)</f>
        <v/>
      </c>
      <c r="AS66" s="10" t="str">
        <f>if(ISNUMBER($B66), VLOOKUP(AB66, mapping!$A$2:$B99,2,false),)</f>
        <v/>
      </c>
      <c r="AT66" s="10" t="str">
        <f t="shared" si="5"/>
        <v/>
      </c>
      <c r="AU66" s="10" t="str">
        <f>if(ISNUMBER($B66), VLOOKUP(AD66, mapping!$A$2:$B99,2,false),)</f>
        <v/>
      </c>
      <c r="AV66" s="10" t="str">
        <f t="shared" si="6"/>
        <v/>
      </c>
      <c r="AW66" s="10" t="str">
        <f>if(ISNUMBER($B66), VLOOKUP(AF66, mapping!$A$2:$B99,2,false),)</f>
        <v/>
      </c>
      <c r="AX66" s="10" t="str">
        <f t="shared" si="7"/>
        <v/>
      </c>
      <c r="AY66" s="10" t="str">
        <f>if(ISNUMBER($B66), VLOOKUP(AH66, mapping!$A$2:$B99,2,false),)</f>
        <v/>
      </c>
      <c r="AZ66" s="10" t="str">
        <f t="shared" si="8"/>
        <v/>
      </c>
      <c r="BA66" s="10" t="str">
        <f>if(ISNUMBER($B66), VLOOKUP(AJ66, mapping!$A$2:$B99,2,false),)</f>
        <v/>
      </c>
      <c r="BB66" s="10" t="str">
        <f t="shared" si="9"/>
        <v/>
      </c>
      <c r="BC66" s="10" t="str">
        <f>if(ISNUMBER($B66), VLOOKUP(AL66, mapping!$A$2:$B99,2,false),)</f>
        <v/>
      </c>
      <c r="BD66" s="10" t="str">
        <f t="shared" ref="BD66:BE66" si="73">if(ISNUMBER($B66), IF(AM66="Not Answered","-",AM66),)</f>
        <v/>
      </c>
      <c r="BE66" s="10" t="str">
        <f t="shared" si="73"/>
        <v/>
      </c>
    </row>
    <row r="67">
      <c r="AO67" s="5" t="str">
        <f t="shared" si="3"/>
        <v/>
      </c>
      <c r="AP67" s="5" t="str">
        <f t="shared" si="4"/>
        <v/>
      </c>
      <c r="AQ67" s="5" t="str">
        <f>IFERROR(__xludf.DUMMYFUNCTION("if(ISNUMBER(B67),FILTER(P67:AA67,REGEXMATCH(P67:AA67, ""Not Answered"")=FALSE),)"),"")</f>
        <v/>
      </c>
      <c r="AR67" s="5" t="str">
        <f>if(ISNUMBER($D67), VLOOKUP(AQ67, konsulenter!$A$1:$B99,2,false),)</f>
        <v/>
      </c>
      <c r="AS67" s="10" t="str">
        <f>if(ISNUMBER($B67), VLOOKUP(AB67, mapping!$A$2:$B99,2,false),)</f>
        <v/>
      </c>
      <c r="AT67" s="10" t="str">
        <f t="shared" si="5"/>
        <v/>
      </c>
      <c r="AU67" s="10" t="str">
        <f>if(ISNUMBER($B67), VLOOKUP(AD67, mapping!$A$2:$B99,2,false),)</f>
        <v/>
      </c>
      <c r="AV67" s="10" t="str">
        <f t="shared" si="6"/>
        <v/>
      </c>
      <c r="AW67" s="10" t="str">
        <f>if(ISNUMBER($B67), VLOOKUP(AF67, mapping!$A$2:$B99,2,false),)</f>
        <v/>
      </c>
      <c r="AX67" s="10" t="str">
        <f t="shared" si="7"/>
        <v/>
      </c>
      <c r="AY67" s="10" t="str">
        <f>if(ISNUMBER($B67), VLOOKUP(AH67, mapping!$A$2:$B99,2,false),)</f>
        <v/>
      </c>
      <c r="AZ67" s="10" t="str">
        <f t="shared" si="8"/>
        <v/>
      </c>
      <c r="BA67" s="10" t="str">
        <f>if(ISNUMBER($B67), VLOOKUP(AJ67, mapping!$A$2:$B99,2,false),)</f>
        <v/>
      </c>
      <c r="BB67" s="10" t="str">
        <f t="shared" si="9"/>
        <v/>
      </c>
      <c r="BC67" s="10" t="str">
        <f>if(ISNUMBER($B67), VLOOKUP(AL67, mapping!$A$2:$B99,2,false),)</f>
        <v/>
      </c>
      <c r="BD67" s="10" t="str">
        <f t="shared" ref="BD67:BE67" si="74">if(ISNUMBER($B67), IF(AM67="Not Answered","-",AM67),)</f>
        <v/>
      </c>
      <c r="BE67" s="10" t="str">
        <f t="shared" si="74"/>
        <v/>
      </c>
    </row>
    <row r="68">
      <c r="AO68" s="5" t="str">
        <f t="shared" si="3"/>
        <v/>
      </c>
      <c r="AP68" s="5" t="str">
        <f t="shared" si="4"/>
        <v/>
      </c>
      <c r="AQ68" s="5" t="str">
        <f>IFERROR(__xludf.DUMMYFUNCTION("if(ISNUMBER(B68),FILTER(P68:AA68,REGEXMATCH(P68:AA68, ""Not Answered"")=FALSE),)"),"")</f>
        <v/>
      </c>
      <c r="AR68" s="5" t="str">
        <f>if(ISNUMBER($D68), VLOOKUP(AQ68, konsulenter!$A$1:$B99,2,false),)</f>
        <v/>
      </c>
      <c r="AS68" s="10" t="str">
        <f>if(ISNUMBER($B68), VLOOKUP(AB68, mapping!$A$2:$B99,2,false),)</f>
        <v/>
      </c>
      <c r="AT68" s="10" t="str">
        <f t="shared" si="5"/>
        <v/>
      </c>
      <c r="AU68" s="10" t="str">
        <f>if(ISNUMBER($B68), VLOOKUP(AD68, mapping!$A$2:$B99,2,false),)</f>
        <v/>
      </c>
      <c r="AV68" s="10" t="str">
        <f t="shared" si="6"/>
        <v/>
      </c>
      <c r="AW68" s="10" t="str">
        <f>if(ISNUMBER($B68), VLOOKUP(AF68, mapping!$A$2:$B99,2,false),)</f>
        <v/>
      </c>
      <c r="AX68" s="10" t="str">
        <f t="shared" si="7"/>
        <v/>
      </c>
      <c r="AY68" s="10" t="str">
        <f>if(ISNUMBER($B68), VLOOKUP(AH68, mapping!$A$2:$B99,2,false),)</f>
        <v/>
      </c>
      <c r="AZ68" s="10" t="str">
        <f t="shared" si="8"/>
        <v/>
      </c>
      <c r="BA68" s="10" t="str">
        <f>if(ISNUMBER($B68), VLOOKUP(AJ68, mapping!$A$2:$B99,2,false),)</f>
        <v/>
      </c>
      <c r="BB68" s="10" t="str">
        <f t="shared" si="9"/>
        <v/>
      </c>
      <c r="BC68" s="10" t="str">
        <f>if(ISNUMBER($B68), VLOOKUP(AL68, mapping!$A$2:$B99,2,false),)</f>
        <v/>
      </c>
      <c r="BD68" s="10" t="str">
        <f t="shared" ref="BD68:BE68" si="75">if(ISNUMBER($B68), IF(AM68="Not Answered","-",AM68),)</f>
        <v/>
      </c>
      <c r="BE68" s="10" t="str">
        <f t="shared" si="75"/>
        <v/>
      </c>
    </row>
    <row r="69">
      <c r="AO69" s="5" t="str">
        <f t="shared" si="3"/>
        <v/>
      </c>
      <c r="AP69" s="5" t="str">
        <f t="shared" si="4"/>
        <v/>
      </c>
      <c r="AQ69" s="5" t="str">
        <f>IFERROR(__xludf.DUMMYFUNCTION("if(ISNUMBER(B69),FILTER(P69:AA69,REGEXMATCH(P69:AA69, ""Not Answered"")=FALSE),)"),"")</f>
        <v/>
      </c>
      <c r="AR69" s="5" t="str">
        <f>if(ISNUMBER($D69), VLOOKUP(AQ69, konsulenter!$A$1:$B99,2,false),)</f>
        <v/>
      </c>
      <c r="AS69" s="10" t="str">
        <f>if(ISNUMBER($B69), VLOOKUP(AB69, mapping!$A$2:$B99,2,false),)</f>
        <v/>
      </c>
      <c r="AT69" s="10" t="str">
        <f t="shared" si="5"/>
        <v/>
      </c>
      <c r="AU69" s="10" t="str">
        <f>if(ISNUMBER($B69), VLOOKUP(AD69, mapping!$A$2:$B99,2,false),)</f>
        <v/>
      </c>
      <c r="AV69" s="10" t="str">
        <f t="shared" si="6"/>
        <v/>
      </c>
      <c r="AW69" s="10" t="str">
        <f>if(ISNUMBER($B69), VLOOKUP(AF69, mapping!$A$2:$B99,2,false),)</f>
        <v/>
      </c>
      <c r="AX69" s="10" t="str">
        <f t="shared" si="7"/>
        <v/>
      </c>
      <c r="AY69" s="10" t="str">
        <f>if(ISNUMBER($B69), VLOOKUP(AH69, mapping!$A$2:$B99,2,false),)</f>
        <v/>
      </c>
      <c r="AZ69" s="10" t="str">
        <f t="shared" si="8"/>
        <v/>
      </c>
      <c r="BA69" s="10" t="str">
        <f>if(ISNUMBER($B69), VLOOKUP(AJ69, mapping!$A$2:$B99,2,false),)</f>
        <v/>
      </c>
      <c r="BB69" s="10" t="str">
        <f t="shared" si="9"/>
        <v/>
      </c>
      <c r="BC69" s="10" t="str">
        <f>if(ISNUMBER($B69), VLOOKUP(AL69, mapping!$A$2:$B99,2,false),)</f>
        <v/>
      </c>
      <c r="BD69" s="10" t="str">
        <f t="shared" ref="BD69:BE69" si="76">if(ISNUMBER($B69), IF(AM69="Not Answered","-",AM69),)</f>
        <v/>
      </c>
      <c r="BE69" s="10" t="str">
        <f t="shared" si="76"/>
        <v/>
      </c>
    </row>
    <row r="70">
      <c r="AO70" s="5" t="str">
        <f t="shared" si="3"/>
        <v/>
      </c>
      <c r="AP70" s="5" t="str">
        <f t="shared" si="4"/>
        <v/>
      </c>
      <c r="AQ70" s="5" t="str">
        <f>IFERROR(__xludf.DUMMYFUNCTION("if(ISNUMBER(B70),FILTER(P70:AA70,REGEXMATCH(P70:AA70, ""Not Answered"")=FALSE),)"),"")</f>
        <v/>
      </c>
      <c r="AR70" s="5" t="str">
        <f>if(ISNUMBER($D70), VLOOKUP(AQ70, konsulenter!$A$1:$B99,2,false),)</f>
        <v/>
      </c>
      <c r="AS70" s="10" t="str">
        <f>if(ISNUMBER($B70), VLOOKUP(AB70, mapping!$A$2:$B99,2,false),)</f>
        <v/>
      </c>
      <c r="AT70" s="10" t="str">
        <f t="shared" si="5"/>
        <v/>
      </c>
      <c r="AU70" s="10" t="str">
        <f>if(ISNUMBER($B70), VLOOKUP(AD70, mapping!$A$2:$B99,2,false),)</f>
        <v/>
      </c>
      <c r="AV70" s="10" t="str">
        <f t="shared" si="6"/>
        <v/>
      </c>
      <c r="AW70" s="10" t="str">
        <f>if(ISNUMBER($B70), VLOOKUP(AF70, mapping!$A$2:$B99,2,false),)</f>
        <v/>
      </c>
      <c r="AX70" s="10" t="str">
        <f t="shared" si="7"/>
        <v/>
      </c>
      <c r="AY70" s="10" t="str">
        <f>if(ISNUMBER($B70), VLOOKUP(AH70, mapping!$A$2:$B99,2,false),)</f>
        <v/>
      </c>
      <c r="AZ70" s="10" t="str">
        <f t="shared" si="8"/>
        <v/>
      </c>
      <c r="BA70" s="10" t="str">
        <f>if(ISNUMBER($B70), VLOOKUP(AJ70, mapping!$A$2:$B99,2,false),)</f>
        <v/>
      </c>
      <c r="BB70" s="10" t="str">
        <f t="shared" si="9"/>
        <v/>
      </c>
      <c r="BC70" s="10" t="str">
        <f>if(ISNUMBER($B70), VLOOKUP(AL70, mapping!$A$2:$B99,2,false),)</f>
        <v/>
      </c>
      <c r="BD70" s="10" t="str">
        <f t="shared" ref="BD70:BE70" si="77">if(ISNUMBER($B70), IF(AM70="Not Answered","-",AM70),)</f>
        <v/>
      </c>
      <c r="BE70" s="10" t="str">
        <f t="shared" si="77"/>
        <v/>
      </c>
    </row>
    <row r="71">
      <c r="AO71" s="5" t="str">
        <f t="shared" si="3"/>
        <v/>
      </c>
      <c r="AP71" s="5" t="str">
        <f t="shared" si="4"/>
        <v/>
      </c>
      <c r="AQ71" s="5" t="str">
        <f>IFERROR(__xludf.DUMMYFUNCTION("if(ISNUMBER(B71),FILTER(P71:AA71,REGEXMATCH(P71:AA71, ""Not Answered"")=FALSE),)"),"")</f>
        <v/>
      </c>
      <c r="AR71" s="5" t="str">
        <f>if(ISNUMBER($D71), VLOOKUP(AQ71, konsulenter!$A$1:$B99,2,false),)</f>
        <v/>
      </c>
      <c r="AS71" s="10" t="str">
        <f>if(ISNUMBER($B71), VLOOKUP(AB71, mapping!$A$2:$B99,2,false),)</f>
        <v/>
      </c>
      <c r="AT71" s="10" t="str">
        <f t="shared" si="5"/>
        <v/>
      </c>
      <c r="AU71" s="10" t="str">
        <f>if(ISNUMBER($B71), VLOOKUP(AD71, mapping!$A$2:$B99,2,false),)</f>
        <v/>
      </c>
      <c r="AV71" s="10" t="str">
        <f t="shared" si="6"/>
        <v/>
      </c>
      <c r="AW71" s="10" t="str">
        <f>if(ISNUMBER($B71), VLOOKUP(AF71, mapping!$A$2:$B99,2,false),)</f>
        <v/>
      </c>
      <c r="AX71" s="10" t="str">
        <f t="shared" si="7"/>
        <v/>
      </c>
      <c r="AY71" s="10" t="str">
        <f>if(ISNUMBER($B71), VLOOKUP(AH71, mapping!$A$2:$B99,2,false),)</f>
        <v/>
      </c>
      <c r="AZ71" s="10" t="str">
        <f t="shared" si="8"/>
        <v/>
      </c>
      <c r="BA71" s="10" t="str">
        <f>if(ISNUMBER($B71), VLOOKUP(AJ71, mapping!$A$2:$B99,2,false),)</f>
        <v/>
      </c>
      <c r="BB71" s="10" t="str">
        <f t="shared" si="9"/>
        <v/>
      </c>
      <c r="BC71" s="10" t="str">
        <f>if(ISNUMBER($B71), VLOOKUP(AL71, mapping!$A$2:$B99,2,false),)</f>
        <v/>
      </c>
      <c r="BD71" s="10" t="str">
        <f t="shared" ref="BD71:BE71" si="78">if(ISNUMBER($B71), IF(AM71="Not Answered","-",AM71),)</f>
        <v/>
      </c>
      <c r="BE71" s="10" t="str">
        <f t="shared" si="78"/>
        <v/>
      </c>
    </row>
    <row r="72">
      <c r="AO72" s="5" t="str">
        <f t="shared" si="3"/>
        <v/>
      </c>
      <c r="AP72" s="5" t="str">
        <f t="shared" si="4"/>
        <v/>
      </c>
      <c r="AQ72" s="5" t="str">
        <f>IFERROR(__xludf.DUMMYFUNCTION("if(ISNUMBER(B72),FILTER(P72:AA72,REGEXMATCH(P72:AA72, ""Not Answered"")=FALSE),)"),"")</f>
        <v/>
      </c>
      <c r="AR72" s="5" t="str">
        <f>if(ISNUMBER($D72), VLOOKUP(AQ72, konsulenter!$A$1:$B99,2,false),)</f>
        <v/>
      </c>
      <c r="AS72" s="10" t="str">
        <f>if(ISNUMBER($B72), VLOOKUP(AB72, mapping!$A$2:$B99,2,false),)</f>
        <v/>
      </c>
      <c r="AT72" s="10" t="str">
        <f t="shared" si="5"/>
        <v/>
      </c>
      <c r="AU72" s="10" t="str">
        <f>if(ISNUMBER($B72), VLOOKUP(AD72, mapping!$A$2:$B99,2,false),)</f>
        <v/>
      </c>
      <c r="AV72" s="10" t="str">
        <f t="shared" si="6"/>
        <v/>
      </c>
      <c r="AW72" s="10" t="str">
        <f>if(ISNUMBER($B72), VLOOKUP(AF72, mapping!$A$2:$B99,2,false),)</f>
        <v/>
      </c>
      <c r="AX72" s="10" t="str">
        <f t="shared" si="7"/>
        <v/>
      </c>
      <c r="AY72" s="10" t="str">
        <f>if(ISNUMBER($B72), VLOOKUP(AH72, mapping!$A$2:$B99,2,false),)</f>
        <v/>
      </c>
      <c r="AZ72" s="10" t="str">
        <f t="shared" si="8"/>
        <v/>
      </c>
      <c r="BA72" s="10" t="str">
        <f>if(ISNUMBER($B72), VLOOKUP(AJ72, mapping!$A$2:$B99,2,false),)</f>
        <v/>
      </c>
      <c r="BB72" s="10" t="str">
        <f t="shared" si="9"/>
        <v/>
      </c>
      <c r="BC72" s="10" t="str">
        <f>if(ISNUMBER($B72), VLOOKUP(AL72, mapping!$A$2:$B99,2,false),)</f>
        <v/>
      </c>
      <c r="BD72" s="10" t="str">
        <f t="shared" ref="BD72:BE72" si="79">if(ISNUMBER($B72), IF(AM72="Not Answered","-",AM72),)</f>
        <v/>
      </c>
      <c r="BE72" s="10" t="str">
        <f t="shared" si="79"/>
        <v/>
      </c>
    </row>
    <row r="73">
      <c r="AO73" s="5" t="str">
        <f t="shared" si="3"/>
        <v/>
      </c>
      <c r="AP73" s="5" t="str">
        <f t="shared" si="4"/>
        <v/>
      </c>
      <c r="AQ73" s="5" t="str">
        <f>IFERROR(__xludf.DUMMYFUNCTION("if(ISNUMBER(B73),FILTER(P73:AA73,REGEXMATCH(P73:AA73, ""Not Answered"")=FALSE),)"),"")</f>
        <v/>
      </c>
      <c r="AR73" s="5" t="str">
        <f>if(ISNUMBER($D73), VLOOKUP(AQ73, konsulenter!$A$1:$B99,2,false),)</f>
        <v/>
      </c>
      <c r="AS73" s="10" t="str">
        <f>if(ISNUMBER($B73), VLOOKUP(AB73, mapping!$A$2:$B99,2,false),)</f>
        <v/>
      </c>
      <c r="AT73" s="10" t="str">
        <f t="shared" si="5"/>
        <v/>
      </c>
      <c r="AU73" s="10" t="str">
        <f>if(ISNUMBER($B73), VLOOKUP(AD73, mapping!$A$2:$B99,2,false),)</f>
        <v/>
      </c>
      <c r="AV73" s="10" t="str">
        <f t="shared" si="6"/>
        <v/>
      </c>
      <c r="AW73" s="10" t="str">
        <f>if(ISNUMBER($B73), VLOOKUP(AF73, mapping!$A$2:$B99,2,false),)</f>
        <v/>
      </c>
      <c r="AX73" s="10" t="str">
        <f t="shared" si="7"/>
        <v/>
      </c>
      <c r="AY73" s="10" t="str">
        <f>if(ISNUMBER($B73), VLOOKUP(AH73, mapping!$A$2:$B99,2,false),)</f>
        <v/>
      </c>
      <c r="AZ73" s="10" t="str">
        <f t="shared" si="8"/>
        <v/>
      </c>
      <c r="BA73" s="10" t="str">
        <f>if(ISNUMBER($B73), VLOOKUP(AJ73, mapping!$A$2:$B99,2,false),)</f>
        <v/>
      </c>
      <c r="BB73" s="10" t="str">
        <f t="shared" si="9"/>
        <v/>
      </c>
      <c r="BC73" s="10" t="str">
        <f>if(ISNUMBER($B73), VLOOKUP(AL73, mapping!$A$2:$B99,2,false),)</f>
        <v/>
      </c>
      <c r="BD73" s="10" t="str">
        <f t="shared" ref="BD73:BE73" si="80">if(ISNUMBER($B73), IF(AM73="Not Answered","-",AM73),)</f>
        <v/>
      </c>
      <c r="BE73" s="10" t="str">
        <f t="shared" si="80"/>
        <v/>
      </c>
    </row>
    <row r="74">
      <c r="AO74" s="5" t="str">
        <f t="shared" si="3"/>
        <v/>
      </c>
      <c r="AP74" s="5" t="str">
        <f t="shared" si="4"/>
        <v/>
      </c>
      <c r="AQ74" s="5" t="str">
        <f>IFERROR(__xludf.DUMMYFUNCTION("if(ISNUMBER(B74),FILTER(P74:AA74,REGEXMATCH(P74:AA74, ""Not Answered"")=FALSE),)"),"")</f>
        <v/>
      </c>
      <c r="AR74" s="5" t="str">
        <f>if(ISNUMBER($D74), VLOOKUP(AQ74, konsulenter!$A$1:$B99,2,false),)</f>
        <v/>
      </c>
      <c r="AS74" s="10" t="str">
        <f>if(ISNUMBER($B74), VLOOKUP(AB74, mapping!$A$2:$B99,2,false),)</f>
        <v/>
      </c>
      <c r="AT74" s="10" t="str">
        <f t="shared" si="5"/>
        <v/>
      </c>
      <c r="AU74" s="10" t="str">
        <f>if(ISNUMBER($B74), VLOOKUP(AD74, mapping!$A$2:$B99,2,false),)</f>
        <v/>
      </c>
      <c r="AV74" s="10" t="str">
        <f t="shared" si="6"/>
        <v/>
      </c>
      <c r="AW74" s="10" t="str">
        <f>if(ISNUMBER($B74), VLOOKUP(AF74, mapping!$A$2:$B99,2,false),)</f>
        <v/>
      </c>
      <c r="AX74" s="10" t="str">
        <f t="shared" si="7"/>
        <v/>
      </c>
      <c r="AY74" s="10" t="str">
        <f>if(ISNUMBER($B74), VLOOKUP(AH74, mapping!$A$2:$B99,2,false),)</f>
        <v/>
      </c>
      <c r="AZ74" s="10" t="str">
        <f t="shared" si="8"/>
        <v/>
      </c>
      <c r="BA74" s="10" t="str">
        <f>if(ISNUMBER($B74), VLOOKUP(AJ74, mapping!$A$2:$B99,2,false),)</f>
        <v/>
      </c>
      <c r="BB74" s="10" t="str">
        <f t="shared" si="9"/>
        <v/>
      </c>
      <c r="BC74" s="10" t="str">
        <f>if(ISNUMBER($B74), VLOOKUP(AL74, mapping!$A$2:$B99,2,false),)</f>
        <v/>
      </c>
      <c r="BD74" s="10" t="str">
        <f t="shared" ref="BD74:BE74" si="81">if(ISNUMBER($B74), IF(AM74="Not Answered","-",AM74),)</f>
        <v/>
      </c>
      <c r="BE74" s="10" t="str">
        <f t="shared" si="81"/>
        <v/>
      </c>
    </row>
    <row r="75">
      <c r="AO75" s="5" t="str">
        <f t="shared" si="3"/>
        <v/>
      </c>
      <c r="AP75" s="5" t="str">
        <f t="shared" si="4"/>
        <v/>
      </c>
      <c r="AQ75" s="5" t="str">
        <f>IFERROR(__xludf.DUMMYFUNCTION("if(ISNUMBER(B75),FILTER(P75:AA75,REGEXMATCH(P75:AA75, ""Not Answered"")=FALSE),)"),"")</f>
        <v/>
      </c>
      <c r="AR75" s="5" t="str">
        <f>if(ISNUMBER($D75), VLOOKUP(AQ75, konsulenter!$A$1:$B99,2,false),)</f>
        <v/>
      </c>
      <c r="AS75" s="10" t="str">
        <f>if(ISNUMBER($B75), VLOOKUP(AB75, mapping!$A$2:$B99,2,false),)</f>
        <v/>
      </c>
      <c r="AT75" s="10" t="str">
        <f t="shared" si="5"/>
        <v/>
      </c>
      <c r="AU75" s="10" t="str">
        <f>if(ISNUMBER($B75), VLOOKUP(AD75, mapping!$A$2:$B99,2,false),)</f>
        <v/>
      </c>
      <c r="AV75" s="10" t="str">
        <f t="shared" si="6"/>
        <v/>
      </c>
      <c r="AW75" s="10" t="str">
        <f>if(ISNUMBER($B75), VLOOKUP(AF75, mapping!$A$2:$B99,2,false),)</f>
        <v/>
      </c>
      <c r="AX75" s="10" t="str">
        <f t="shared" si="7"/>
        <v/>
      </c>
      <c r="AY75" s="10" t="str">
        <f>if(ISNUMBER($B75), VLOOKUP(AH75, mapping!$A$2:$B99,2,false),)</f>
        <v/>
      </c>
      <c r="AZ75" s="10" t="str">
        <f t="shared" si="8"/>
        <v/>
      </c>
      <c r="BA75" s="10" t="str">
        <f>if(ISNUMBER($B75), VLOOKUP(AJ75, mapping!$A$2:$B99,2,false),)</f>
        <v/>
      </c>
      <c r="BB75" s="10" t="str">
        <f t="shared" si="9"/>
        <v/>
      </c>
      <c r="BC75" s="10" t="str">
        <f>if(ISNUMBER($B75), VLOOKUP(AL75, mapping!$A$2:$B99,2,false),)</f>
        <v/>
      </c>
      <c r="BD75" s="10" t="str">
        <f t="shared" ref="BD75:BE75" si="82">if(ISNUMBER($B75), IF(AM75="Not Answered","-",AM75),)</f>
        <v/>
      </c>
      <c r="BE75" s="10" t="str">
        <f t="shared" si="82"/>
        <v/>
      </c>
    </row>
    <row r="76">
      <c r="AO76" s="5" t="str">
        <f t="shared" si="3"/>
        <v/>
      </c>
      <c r="AP76" s="5" t="str">
        <f t="shared" si="4"/>
        <v/>
      </c>
      <c r="AQ76" s="5" t="str">
        <f>IFERROR(__xludf.DUMMYFUNCTION("if(ISNUMBER(B76),FILTER(P76:AA76,REGEXMATCH(P76:AA76, ""Not Answered"")=FALSE),)"),"")</f>
        <v/>
      </c>
      <c r="AR76" s="5" t="str">
        <f>if(ISNUMBER($D76), VLOOKUP(AQ76, konsulenter!$A$1:$B99,2,false),)</f>
        <v/>
      </c>
      <c r="AS76" s="10" t="str">
        <f>if(ISNUMBER($B76), VLOOKUP(AB76, mapping!$A$2:$B99,2,false),)</f>
        <v/>
      </c>
      <c r="AT76" s="10" t="str">
        <f t="shared" si="5"/>
        <v/>
      </c>
      <c r="AU76" s="10" t="str">
        <f>if(ISNUMBER($B76), VLOOKUP(AD76, mapping!$A$2:$B99,2,false),)</f>
        <v/>
      </c>
      <c r="AV76" s="10" t="str">
        <f t="shared" si="6"/>
        <v/>
      </c>
      <c r="AW76" s="10" t="str">
        <f>if(ISNUMBER($B76), VLOOKUP(AF76, mapping!$A$2:$B99,2,false),)</f>
        <v/>
      </c>
      <c r="AX76" s="10" t="str">
        <f t="shared" si="7"/>
        <v/>
      </c>
      <c r="AY76" s="10" t="str">
        <f>if(ISNUMBER($B76), VLOOKUP(AH76, mapping!$A$2:$B99,2,false),)</f>
        <v/>
      </c>
      <c r="AZ76" s="10" t="str">
        <f t="shared" si="8"/>
        <v/>
      </c>
      <c r="BA76" s="10" t="str">
        <f>if(ISNUMBER($B76), VLOOKUP(AJ76, mapping!$A$2:$B99,2,false),)</f>
        <v/>
      </c>
      <c r="BB76" s="10" t="str">
        <f t="shared" si="9"/>
        <v/>
      </c>
      <c r="BC76" s="10" t="str">
        <f>if(ISNUMBER($B76), VLOOKUP(AL76, mapping!$A$2:$B99,2,false),)</f>
        <v/>
      </c>
      <c r="BD76" s="10" t="str">
        <f t="shared" ref="BD76:BE76" si="83">if(ISNUMBER($B76), IF(AM76="Not Answered","-",AM76),)</f>
        <v/>
      </c>
      <c r="BE76" s="10" t="str">
        <f t="shared" si="83"/>
        <v/>
      </c>
    </row>
    <row r="77">
      <c r="AO77" s="5" t="str">
        <f t="shared" si="3"/>
        <v/>
      </c>
      <c r="AP77" s="5" t="str">
        <f t="shared" si="4"/>
        <v/>
      </c>
      <c r="AQ77" s="5" t="str">
        <f>IFERROR(__xludf.DUMMYFUNCTION("if(ISNUMBER(B77),FILTER(P77:AA77,REGEXMATCH(P77:AA77, ""Not Answered"")=FALSE),)"),"")</f>
        <v/>
      </c>
      <c r="AR77" s="5" t="str">
        <f>if(ISNUMBER($D77), VLOOKUP(AQ77, konsulenter!$A$1:$B99,2,false),)</f>
        <v/>
      </c>
      <c r="AS77" s="10" t="str">
        <f>if(ISNUMBER($B77), VLOOKUP(AB77, mapping!$A$2:$B99,2,false),)</f>
        <v/>
      </c>
      <c r="AT77" s="10" t="str">
        <f t="shared" si="5"/>
        <v/>
      </c>
      <c r="AU77" s="10" t="str">
        <f>if(ISNUMBER($B77), VLOOKUP(AD77, mapping!$A$2:$B99,2,false),)</f>
        <v/>
      </c>
      <c r="AV77" s="10" t="str">
        <f t="shared" si="6"/>
        <v/>
      </c>
      <c r="AW77" s="10" t="str">
        <f>if(ISNUMBER($B77), VLOOKUP(AF77, mapping!$A$2:$B99,2,false),)</f>
        <v/>
      </c>
      <c r="AX77" s="10" t="str">
        <f t="shared" si="7"/>
        <v/>
      </c>
      <c r="AY77" s="10" t="str">
        <f>if(ISNUMBER($B77), VLOOKUP(AH77, mapping!$A$2:$B99,2,false),)</f>
        <v/>
      </c>
      <c r="AZ77" s="10" t="str">
        <f t="shared" si="8"/>
        <v/>
      </c>
      <c r="BA77" s="10" t="str">
        <f>if(ISNUMBER($B77), VLOOKUP(AJ77, mapping!$A$2:$B99,2,false),)</f>
        <v/>
      </c>
      <c r="BB77" s="10" t="str">
        <f t="shared" si="9"/>
        <v/>
      </c>
      <c r="BC77" s="10" t="str">
        <f>if(ISNUMBER($B77), VLOOKUP(AL77, mapping!$A$2:$B99,2,false),)</f>
        <v/>
      </c>
      <c r="BD77" s="10" t="str">
        <f t="shared" ref="BD77:BE77" si="84">if(ISNUMBER($B77), IF(AM77="Not Answered","-",AM77),)</f>
        <v/>
      </c>
      <c r="BE77" s="10" t="str">
        <f t="shared" si="84"/>
        <v/>
      </c>
    </row>
    <row r="78">
      <c r="AO78" s="5" t="str">
        <f t="shared" si="3"/>
        <v/>
      </c>
      <c r="AP78" s="5" t="str">
        <f t="shared" si="4"/>
        <v/>
      </c>
      <c r="AQ78" s="5" t="str">
        <f>IFERROR(__xludf.DUMMYFUNCTION("if(ISNUMBER(B78),FILTER(P78:AA78,REGEXMATCH(P78:AA78, ""Not Answered"")=FALSE),)"),"")</f>
        <v/>
      </c>
      <c r="AR78" s="5" t="str">
        <f>if(ISNUMBER($D78), VLOOKUP(AQ78, konsulenter!$A$1:$B99,2,false),)</f>
        <v/>
      </c>
      <c r="AS78" s="10" t="str">
        <f>if(ISNUMBER($B78), VLOOKUP(AB78, mapping!$A$2:$B99,2,false),)</f>
        <v/>
      </c>
      <c r="AT78" s="10" t="str">
        <f t="shared" si="5"/>
        <v/>
      </c>
      <c r="AU78" s="10" t="str">
        <f>if(ISNUMBER($B78), VLOOKUP(AD78, mapping!$A$2:$B99,2,false),)</f>
        <v/>
      </c>
      <c r="AV78" s="10" t="str">
        <f t="shared" si="6"/>
        <v/>
      </c>
      <c r="AW78" s="10" t="str">
        <f>if(ISNUMBER($B78), VLOOKUP(AF78, mapping!$A$2:$B99,2,false),)</f>
        <v/>
      </c>
      <c r="AX78" s="10" t="str">
        <f t="shared" si="7"/>
        <v/>
      </c>
      <c r="AY78" s="10" t="str">
        <f>if(ISNUMBER($B78), VLOOKUP(AH78, mapping!$A$2:$B99,2,false),)</f>
        <v/>
      </c>
      <c r="AZ78" s="10" t="str">
        <f t="shared" si="8"/>
        <v/>
      </c>
      <c r="BA78" s="10" t="str">
        <f>if(ISNUMBER($B78), VLOOKUP(AJ78, mapping!$A$2:$B99,2,false),)</f>
        <v/>
      </c>
      <c r="BB78" s="10" t="str">
        <f t="shared" si="9"/>
        <v/>
      </c>
      <c r="BC78" s="10" t="str">
        <f>if(ISNUMBER($B78), VLOOKUP(AL78, mapping!$A$2:$B99,2,false),)</f>
        <v/>
      </c>
      <c r="BD78" s="10" t="str">
        <f t="shared" ref="BD78:BE78" si="85">if(ISNUMBER($B78), IF(AM78="Not Answered","-",AM78),)</f>
        <v/>
      </c>
      <c r="BE78" s="10" t="str">
        <f t="shared" si="85"/>
        <v/>
      </c>
    </row>
    <row r="79">
      <c r="AO79" s="5" t="str">
        <f t="shared" si="3"/>
        <v/>
      </c>
      <c r="AP79" s="5" t="str">
        <f t="shared" si="4"/>
        <v/>
      </c>
      <c r="AQ79" s="5" t="str">
        <f>IFERROR(__xludf.DUMMYFUNCTION("if(ISNUMBER(B79),FILTER(P79:AA79,REGEXMATCH(P79:AA79, ""Not Answered"")=FALSE),)"),"")</f>
        <v/>
      </c>
      <c r="AR79" s="5" t="str">
        <f>if(ISNUMBER($D79), VLOOKUP(AQ79, konsulenter!$A$1:$B99,2,false),)</f>
        <v/>
      </c>
      <c r="AS79" s="10" t="str">
        <f>if(ISNUMBER($B79), VLOOKUP(AB79, mapping!$A$2:$B99,2,false),)</f>
        <v/>
      </c>
      <c r="AT79" s="10" t="str">
        <f t="shared" si="5"/>
        <v/>
      </c>
      <c r="AU79" s="10" t="str">
        <f>if(ISNUMBER($B79), VLOOKUP(AD79, mapping!$A$2:$B99,2,false),)</f>
        <v/>
      </c>
      <c r="AV79" s="10" t="str">
        <f t="shared" si="6"/>
        <v/>
      </c>
      <c r="AW79" s="10" t="str">
        <f>if(ISNUMBER($B79), VLOOKUP(AF79, mapping!$A$2:$B99,2,false),)</f>
        <v/>
      </c>
      <c r="AX79" s="10" t="str">
        <f t="shared" si="7"/>
        <v/>
      </c>
      <c r="AY79" s="10" t="str">
        <f>if(ISNUMBER($B79), VLOOKUP(AH79, mapping!$A$2:$B99,2,false),)</f>
        <v/>
      </c>
      <c r="AZ79" s="10" t="str">
        <f t="shared" si="8"/>
        <v/>
      </c>
      <c r="BA79" s="10" t="str">
        <f>if(ISNUMBER($B79), VLOOKUP(AJ79, mapping!$A$2:$B99,2,false),)</f>
        <v/>
      </c>
      <c r="BB79" s="10" t="str">
        <f t="shared" si="9"/>
        <v/>
      </c>
      <c r="BC79" s="10" t="str">
        <f>if(ISNUMBER($B79), VLOOKUP(AL79, mapping!$A$2:$B99,2,false),)</f>
        <v/>
      </c>
      <c r="BD79" s="10" t="str">
        <f t="shared" ref="BD79:BE79" si="86">if(ISNUMBER($B79), IF(AM79="Not Answered","-",AM79),)</f>
        <v/>
      </c>
      <c r="BE79" s="10" t="str">
        <f t="shared" si="86"/>
        <v/>
      </c>
    </row>
    <row r="80">
      <c r="AO80" s="5" t="str">
        <f t="shared" si="3"/>
        <v/>
      </c>
      <c r="AP80" s="5" t="str">
        <f t="shared" si="4"/>
        <v/>
      </c>
      <c r="AQ80" s="5" t="str">
        <f>IFERROR(__xludf.DUMMYFUNCTION("if(ISNUMBER(B80),FILTER(P80:AA80,REGEXMATCH(P80:AA80, ""Not Answered"")=FALSE),)"),"")</f>
        <v/>
      </c>
      <c r="AR80" s="5" t="str">
        <f>if(ISNUMBER($D80), VLOOKUP(AQ80, konsulenter!$A$1:$B99,2,false),)</f>
        <v/>
      </c>
      <c r="AS80" s="10" t="str">
        <f>if(ISNUMBER($B80), VLOOKUP(AB80, mapping!$A$2:$B99,2,false),)</f>
        <v/>
      </c>
      <c r="AT80" s="10" t="str">
        <f t="shared" si="5"/>
        <v/>
      </c>
      <c r="AU80" s="10" t="str">
        <f>if(ISNUMBER($B80), VLOOKUP(AD80, mapping!$A$2:$B99,2,false),)</f>
        <v/>
      </c>
      <c r="AV80" s="10" t="str">
        <f t="shared" si="6"/>
        <v/>
      </c>
      <c r="AW80" s="10" t="str">
        <f>if(ISNUMBER($B80), VLOOKUP(AF80, mapping!$A$2:$B99,2,false),)</f>
        <v/>
      </c>
      <c r="AX80" s="10" t="str">
        <f t="shared" si="7"/>
        <v/>
      </c>
      <c r="AY80" s="10" t="str">
        <f>if(ISNUMBER($B80), VLOOKUP(AH80, mapping!$A$2:$B99,2,false),)</f>
        <v/>
      </c>
      <c r="AZ80" s="10" t="str">
        <f t="shared" si="8"/>
        <v/>
      </c>
      <c r="BA80" s="10" t="str">
        <f>if(ISNUMBER($B80), VLOOKUP(AJ80, mapping!$A$2:$B99,2,false),)</f>
        <v/>
      </c>
      <c r="BB80" s="10" t="str">
        <f t="shared" si="9"/>
        <v/>
      </c>
      <c r="BC80" s="10" t="str">
        <f>if(ISNUMBER($B80), VLOOKUP(AL80, mapping!$A$2:$B99,2,false),)</f>
        <v/>
      </c>
      <c r="BD80" s="10" t="str">
        <f t="shared" ref="BD80:BE80" si="87">if(ISNUMBER($B80), IF(AM80="Not Answered","-",AM80),)</f>
        <v/>
      </c>
      <c r="BE80" s="10" t="str">
        <f t="shared" si="87"/>
        <v/>
      </c>
    </row>
    <row r="81">
      <c r="AO81" s="5" t="str">
        <f t="shared" si="3"/>
        <v/>
      </c>
      <c r="AP81" s="5" t="str">
        <f t="shared" si="4"/>
        <v/>
      </c>
      <c r="AQ81" s="5" t="str">
        <f>IFERROR(__xludf.DUMMYFUNCTION("if(ISNUMBER(B81),FILTER(P81:AA81,REGEXMATCH(P81:AA81, ""Not Answered"")=FALSE),)"),"")</f>
        <v/>
      </c>
      <c r="AR81" s="5" t="str">
        <f>if(ISNUMBER($D81), VLOOKUP(AQ81, konsulenter!$A$1:$B99,2,false),)</f>
        <v/>
      </c>
      <c r="AS81" s="10" t="str">
        <f>if(ISNUMBER($B81), VLOOKUP(AB81, mapping!$A$2:$B99,2,false),)</f>
        <v/>
      </c>
      <c r="AT81" s="10" t="str">
        <f t="shared" si="5"/>
        <v/>
      </c>
      <c r="AU81" s="10" t="str">
        <f>if(ISNUMBER($B81), VLOOKUP(AD81, mapping!$A$2:$B99,2,false),)</f>
        <v/>
      </c>
      <c r="AV81" s="10" t="str">
        <f t="shared" si="6"/>
        <v/>
      </c>
      <c r="AW81" s="10" t="str">
        <f>if(ISNUMBER($B81), VLOOKUP(AF81, mapping!$A$2:$B99,2,false),)</f>
        <v/>
      </c>
      <c r="AX81" s="10" t="str">
        <f t="shared" si="7"/>
        <v/>
      </c>
      <c r="AY81" s="10" t="str">
        <f>if(ISNUMBER($B81), VLOOKUP(AH81, mapping!$A$2:$B99,2,false),)</f>
        <v/>
      </c>
      <c r="AZ81" s="10" t="str">
        <f t="shared" si="8"/>
        <v/>
      </c>
      <c r="BA81" s="10" t="str">
        <f>if(ISNUMBER($B81), VLOOKUP(AJ81, mapping!$A$2:$B99,2,false),)</f>
        <v/>
      </c>
      <c r="BB81" s="10" t="str">
        <f t="shared" si="9"/>
        <v/>
      </c>
      <c r="BC81" s="10" t="str">
        <f>if(ISNUMBER($B81), VLOOKUP(AL81, mapping!$A$2:$B99,2,false),)</f>
        <v/>
      </c>
      <c r="BD81" s="10" t="str">
        <f t="shared" ref="BD81:BE81" si="88">if(ISNUMBER($B81), IF(AM81="Not Answered","-",AM81),)</f>
        <v/>
      </c>
      <c r="BE81" s="10" t="str">
        <f t="shared" si="88"/>
        <v/>
      </c>
    </row>
    <row r="82">
      <c r="AO82" s="5" t="str">
        <f t="shared" si="3"/>
        <v/>
      </c>
      <c r="AP82" s="5" t="str">
        <f t="shared" si="4"/>
        <v/>
      </c>
      <c r="AQ82" s="5" t="str">
        <f>IFERROR(__xludf.DUMMYFUNCTION("if(ISNUMBER(B82),FILTER(P82:AA82,REGEXMATCH(P82:AA82, ""Not Answered"")=FALSE),)"),"")</f>
        <v/>
      </c>
      <c r="AR82" s="5" t="str">
        <f>if(ISNUMBER($D82), VLOOKUP(AQ82, konsulenter!$A$1:$B99,2,false),)</f>
        <v/>
      </c>
      <c r="AS82" s="10" t="str">
        <f>if(ISNUMBER($B82), VLOOKUP(AB82, mapping!$A$2:$B99,2,false),)</f>
        <v/>
      </c>
      <c r="AT82" s="10" t="str">
        <f t="shared" si="5"/>
        <v/>
      </c>
      <c r="AU82" s="10" t="str">
        <f>if(ISNUMBER($B82), VLOOKUP(AD82, mapping!$A$2:$B99,2,false),)</f>
        <v/>
      </c>
      <c r="AV82" s="10" t="str">
        <f t="shared" si="6"/>
        <v/>
      </c>
      <c r="AW82" s="10" t="str">
        <f>if(ISNUMBER($B82), VLOOKUP(AF82, mapping!$A$2:$B99,2,false),)</f>
        <v/>
      </c>
      <c r="AX82" s="10" t="str">
        <f t="shared" si="7"/>
        <v/>
      </c>
      <c r="AY82" s="10" t="str">
        <f>if(ISNUMBER($B82), VLOOKUP(AH82, mapping!$A$2:$B99,2,false),)</f>
        <v/>
      </c>
      <c r="AZ82" s="10" t="str">
        <f t="shared" si="8"/>
        <v/>
      </c>
      <c r="BA82" s="10" t="str">
        <f>if(ISNUMBER($B82), VLOOKUP(AJ82, mapping!$A$2:$B99,2,false),)</f>
        <v/>
      </c>
      <c r="BB82" s="10" t="str">
        <f t="shared" si="9"/>
        <v/>
      </c>
      <c r="BC82" s="10" t="str">
        <f>if(ISNUMBER($B82), VLOOKUP(AL82, mapping!$A$2:$B99,2,false),)</f>
        <v/>
      </c>
      <c r="BD82" s="10" t="str">
        <f t="shared" ref="BD82:BE82" si="89">if(ISNUMBER($B82), IF(AM82="Not Answered","-",AM82),)</f>
        <v/>
      </c>
      <c r="BE82" s="10" t="str">
        <f t="shared" si="89"/>
        <v/>
      </c>
    </row>
    <row r="83">
      <c r="AO83" s="5" t="str">
        <f t="shared" si="3"/>
        <v/>
      </c>
      <c r="AP83" s="5" t="str">
        <f t="shared" si="4"/>
        <v/>
      </c>
      <c r="AQ83" s="5" t="str">
        <f>IFERROR(__xludf.DUMMYFUNCTION("if(ISNUMBER(B83),FILTER(P83:AA83,REGEXMATCH(P83:AA83, ""Not Answered"")=FALSE),)"),"")</f>
        <v/>
      </c>
      <c r="AR83" s="5" t="str">
        <f>if(ISNUMBER($D83), VLOOKUP(AQ83, konsulenter!$A$1:$B99,2,false),)</f>
        <v/>
      </c>
      <c r="AS83" s="10" t="str">
        <f>if(ISNUMBER($B83), VLOOKUP(AB83, mapping!$A$2:$B99,2,false),)</f>
        <v/>
      </c>
      <c r="AT83" s="10" t="str">
        <f t="shared" si="5"/>
        <v/>
      </c>
      <c r="AU83" s="10" t="str">
        <f>if(ISNUMBER($B83), VLOOKUP(AD83, mapping!$A$2:$B99,2,false),)</f>
        <v/>
      </c>
      <c r="AV83" s="10" t="str">
        <f t="shared" si="6"/>
        <v/>
      </c>
      <c r="AW83" s="10" t="str">
        <f>if(ISNUMBER($B83), VLOOKUP(AF83, mapping!$A$2:$B99,2,false),)</f>
        <v/>
      </c>
      <c r="AX83" s="10" t="str">
        <f t="shared" si="7"/>
        <v/>
      </c>
      <c r="AY83" s="10" t="str">
        <f>if(ISNUMBER($B83), VLOOKUP(AH83, mapping!$A$2:$B99,2,false),)</f>
        <v/>
      </c>
      <c r="AZ83" s="10" t="str">
        <f t="shared" si="8"/>
        <v/>
      </c>
      <c r="BA83" s="10" t="str">
        <f>if(ISNUMBER($B83), VLOOKUP(AJ83, mapping!$A$2:$B99,2,false),)</f>
        <v/>
      </c>
      <c r="BB83" s="10" t="str">
        <f t="shared" si="9"/>
        <v/>
      </c>
      <c r="BC83" s="10" t="str">
        <f>if(ISNUMBER($B83), VLOOKUP(AL83, mapping!$A$2:$B99,2,false),)</f>
        <v/>
      </c>
      <c r="BD83" s="10" t="str">
        <f t="shared" ref="BD83:BE83" si="90">if(ISNUMBER($B83), IF(AM83="Not Answered","-",AM83),)</f>
        <v/>
      </c>
      <c r="BE83" s="10" t="str">
        <f t="shared" si="90"/>
        <v/>
      </c>
    </row>
    <row r="84">
      <c r="AO84" s="5" t="str">
        <f t="shared" si="3"/>
        <v/>
      </c>
      <c r="AP84" s="5" t="str">
        <f t="shared" si="4"/>
        <v/>
      </c>
      <c r="AQ84" s="5" t="str">
        <f>IFERROR(__xludf.DUMMYFUNCTION("if(ISNUMBER(B84),FILTER(P84:AA84,REGEXMATCH(P84:AA84, ""Not Answered"")=FALSE),)"),"")</f>
        <v/>
      </c>
      <c r="AR84" s="5" t="str">
        <f>if(ISNUMBER($D84), VLOOKUP(AQ84, konsulenter!$A$1:$B99,2,false),)</f>
        <v/>
      </c>
      <c r="AS84" s="10" t="str">
        <f>if(ISNUMBER($B84), VLOOKUP(AB84, mapping!$A$2:$B99,2,false),)</f>
        <v/>
      </c>
      <c r="AT84" s="10" t="str">
        <f t="shared" si="5"/>
        <v/>
      </c>
      <c r="AU84" s="10" t="str">
        <f>if(ISNUMBER($B84), VLOOKUP(AD84, mapping!$A$2:$B99,2,false),)</f>
        <v/>
      </c>
      <c r="AV84" s="10" t="str">
        <f t="shared" si="6"/>
        <v/>
      </c>
      <c r="AW84" s="10" t="str">
        <f>if(ISNUMBER($B84), VLOOKUP(AF84, mapping!$A$2:$B99,2,false),)</f>
        <v/>
      </c>
      <c r="AX84" s="10" t="str">
        <f t="shared" si="7"/>
        <v/>
      </c>
      <c r="AY84" s="10" t="str">
        <f>if(ISNUMBER($B84), VLOOKUP(AH84, mapping!$A$2:$B99,2,false),)</f>
        <v/>
      </c>
      <c r="AZ84" s="10" t="str">
        <f t="shared" si="8"/>
        <v/>
      </c>
      <c r="BA84" s="10" t="str">
        <f>if(ISNUMBER($B84), VLOOKUP(AJ84, mapping!$A$2:$B99,2,false),)</f>
        <v/>
      </c>
      <c r="BB84" s="10" t="str">
        <f t="shared" si="9"/>
        <v/>
      </c>
      <c r="BC84" s="10" t="str">
        <f>if(ISNUMBER($B84), VLOOKUP(AL84, mapping!$A$2:$B99,2,false),)</f>
        <v/>
      </c>
      <c r="BD84" s="10" t="str">
        <f t="shared" ref="BD84:BE84" si="91">if(ISNUMBER($B84), IF(AM84="Not Answered","-",AM84),)</f>
        <v/>
      </c>
      <c r="BE84" s="10" t="str">
        <f t="shared" si="91"/>
        <v/>
      </c>
    </row>
    <row r="85">
      <c r="AO85" s="5" t="str">
        <f t="shared" si="3"/>
        <v/>
      </c>
      <c r="AP85" s="5" t="str">
        <f t="shared" si="4"/>
        <v/>
      </c>
      <c r="AQ85" s="5" t="str">
        <f>IFERROR(__xludf.DUMMYFUNCTION("if(ISNUMBER(B85),FILTER(P85:AA85,REGEXMATCH(P85:AA85, ""Not Answered"")=FALSE),)"),"")</f>
        <v/>
      </c>
      <c r="AR85" s="5" t="str">
        <f>if(ISNUMBER($D85), VLOOKUP(AQ85, konsulenter!$A$1:$B99,2,false),)</f>
        <v/>
      </c>
      <c r="AS85" s="10" t="str">
        <f>if(ISNUMBER($B85), VLOOKUP(AB85, mapping!$A$2:$B99,2,false),)</f>
        <v/>
      </c>
      <c r="AT85" s="10" t="str">
        <f t="shared" si="5"/>
        <v/>
      </c>
      <c r="AU85" s="10" t="str">
        <f>if(ISNUMBER($B85), VLOOKUP(AD85, mapping!$A$2:$B99,2,false),)</f>
        <v/>
      </c>
      <c r="AV85" s="10" t="str">
        <f t="shared" si="6"/>
        <v/>
      </c>
      <c r="AW85" s="10" t="str">
        <f>if(ISNUMBER($B85), VLOOKUP(AF85, mapping!$A$2:$B99,2,false),)</f>
        <v/>
      </c>
      <c r="AX85" s="10" t="str">
        <f t="shared" si="7"/>
        <v/>
      </c>
      <c r="AY85" s="10" t="str">
        <f>if(ISNUMBER($B85), VLOOKUP(AH85, mapping!$A$2:$B99,2,false),)</f>
        <v/>
      </c>
      <c r="AZ85" s="10" t="str">
        <f t="shared" si="8"/>
        <v/>
      </c>
      <c r="BA85" s="10" t="str">
        <f>if(ISNUMBER($B85), VLOOKUP(AJ85, mapping!$A$2:$B99,2,false),)</f>
        <v/>
      </c>
      <c r="BB85" s="10" t="str">
        <f t="shared" si="9"/>
        <v/>
      </c>
      <c r="BC85" s="10" t="str">
        <f>if(ISNUMBER($B85), VLOOKUP(AL85, mapping!$A$2:$B99,2,false),)</f>
        <v/>
      </c>
      <c r="BD85" s="10" t="str">
        <f t="shared" ref="BD85:BE85" si="92">if(ISNUMBER($B85), IF(AM85="Not Answered","-",AM85),)</f>
        <v/>
      </c>
      <c r="BE85" s="10" t="str">
        <f t="shared" si="92"/>
        <v/>
      </c>
    </row>
    <row r="86">
      <c r="AO86" s="5" t="str">
        <f t="shared" si="3"/>
        <v/>
      </c>
      <c r="AP86" s="5" t="str">
        <f t="shared" si="4"/>
        <v/>
      </c>
      <c r="AQ86" s="5" t="str">
        <f>IFERROR(__xludf.DUMMYFUNCTION("if(ISNUMBER(B86),FILTER(P86:AA86,REGEXMATCH(P86:AA86, ""Not Answered"")=FALSE),)"),"")</f>
        <v/>
      </c>
      <c r="AR86" s="5" t="str">
        <f>if(ISNUMBER($D86), VLOOKUP(AQ86, konsulenter!$A$1:$B99,2,false),)</f>
        <v/>
      </c>
      <c r="AS86" s="10" t="str">
        <f>if(ISNUMBER($B86), VLOOKUP(AB86, mapping!$A$2:$B99,2,false),)</f>
        <v/>
      </c>
      <c r="AT86" s="10" t="str">
        <f t="shared" si="5"/>
        <v/>
      </c>
      <c r="AU86" s="10" t="str">
        <f>if(ISNUMBER($B86), VLOOKUP(AD86, mapping!$A$2:$B99,2,false),)</f>
        <v/>
      </c>
      <c r="AV86" s="10" t="str">
        <f t="shared" si="6"/>
        <v/>
      </c>
      <c r="AW86" s="10" t="str">
        <f>if(ISNUMBER($B86), VLOOKUP(AF86, mapping!$A$2:$B99,2,false),)</f>
        <v/>
      </c>
      <c r="AX86" s="10" t="str">
        <f t="shared" si="7"/>
        <v/>
      </c>
      <c r="AY86" s="10" t="str">
        <f>if(ISNUMBER($B86), VLOOKUP(AH86, mapping!$A$2:$B99,2,false),)</f>
        <v/>
      </c>
      <c r="AZ86" s="10" t="str">
        <f t="shared" si="8"/>
        <v/>
      </c>
      <c r="BA86" s="10" t="str">
        <f>if(ISNUMBER($B86), VLOOKUP(AJ86, mapping!$A$2:$B99,2,false),)</f>
        <v/>
      </c>
      <c r="BB86" s="10" t="str">
        <f t="shared" si="9"/>
        <v/>
      </c>
      <c r="BC86" s="10" t="str">
        <f>if(ISNUMBER($B86), VLOOKUP(AL86, mapping!$A$2:$B99,2,false),)</f>
        <v/>
      </c>
      <c r="BD86" s="10" t="str">
        <f t="shared" ref="BD86:BE86" si="93">if(ISNUMBER($B86), IF(AM86="Not Answered","-",AM86),)</f>
        <v/>
      </c>
      <c r="BE86" s="10" t="str">
        <f t="shared" si="93"/>
        <v/>
      </c>
    </row>
    <row r="87">
      <c r="AO87" s="5" t="str">
        <f t="shared" si="3"/>
        <v/>
      </c>
      <c r="AP87" s="5" t="str">
        <f t="shared" si="4"/>
        <v/>
      </c>
      <c r="AQ87" s="5" t="str">
        <f>IFERROR(__xludf.DUMMYFUNCTION("if(ISNUMBER(B87),FILTER(P87:AA87,REGEXMATCH(P87:AA87, ""Not Answered"")=FALSE),)"),"")</f>
        <v/>
      </c>
      <c r="AR87" s="5" t="str">
        <f>if(ISNUMBER($D87), VLOOKUP(AQ87, konsulenter!$A$1:$B99,2,false),)</f>
        <v/>
      </c>
      <c r="AS87" s="10" t="str">
        <f>if(ISNUMBER($B87), VLOOKUP(AB87, mapping!$A$2:$B99,2,false),)</f>
        <v/>
      </c>
      <c r="AT87" s="10" t="str">
        <f t="shared" si="5"/>
        <v/>
      </c>
      <c r="AU87" s="10" t="str">
        <f>if(ISNUMBER($B87), VLOOKUP(AD87, mapping!$A$2:$B99,2,false),)</f>
        <v/>
      </c>
      <c r="AV87" s="10" t="str">
        <f t="shared" si="6"/>
        <v/>
      </c>
      <c r="AW87" s="10" t="str">
        <f>if(ISNUMBER($B87), VLOOKUP(AF87, mapping!$A$2:$B99,2,false),)</f>
        <v/>
      </c>
      <c r="AX87" s="10" t="str">
        <f t="shared" si="7"/>
        <v/>
      </c>
      <c r="AY87" s="10" t="str">
        <f>if(ISNUMBER($B87), VLOOKUP(AH87, mapping!$A$2:$B99,2,false),)</f>
        <v/>
      </c>
      <c r="AZ87" s="10" t="str">
        <f t="shared" si="8"/>
        <v/>
      </c>
      <c r="BA87" s="10" t="str">
        <f>if(ISNUMBER($B87), VLOOKUP(AJ87, mapping!$A$2:$B99,2,false),)</f>
        <v/>
      </c>
      <c r="BB87" s="10" t="str">
        <f t="shared" si="9"/>
        <v/>
      </c>
      <c r="BC87" s="10" t="str">
        <f>if(ISNUMBER($B87), VLOOKUP(AL87, mapping!$A$2:$B99,2,false),)</f>
        <v/>
      </c>
      <c r="BD87" s="10" t="str">
        <f t="shared" ref="BD87:BE87" si="94">if(ISNUMBER($B87), IF(AM87="Not Answered","-",AM87),)</f>
        <v/>
      </c>
      <c r="BE87" s="10" t="str">
        <f t="shared" si="94"/>
        <v/>
      </c>
    </row>
    <row r="88">
      <c r="AO88" s="5" t="str">
        <f t="shared" si="3"/>
        <v/>
      </c>
      <c r="AP88" s="5" t="str">
        <f t="shared" si="4"/>
        <v/>
      </c>
      <c r="AQ88" s="5" t="str">
        <f>IFERROR(__xludf.DUMMYFUNCTION("if(ISNUMBER(B88),FILTER(P88:AA88,REGEXMATCH(P88:AA88, ""Not Answered"")=FALSE),)"),"")</f>
        <v/>
      </c>
      <c r="AR88" s="5" t="str">
        <f>if(ISNUMBER($D88), VLOOKUP(AQ88, konsulenter!$A$1:$B99,2,false),)</f>
        <v/>
      </c>
      <c r="AS88" s="10" t="str">
        <f>if(ISNUMBER($B88), VLOOKUP(AB88, mapping!$A$2:$B99,2,false),)</f>
        <v/>
      </c>
      <c r="AT88" s="10" t="str">
        <f t="shared" si="5"/>
        <v/>
      </c>
      <c r="AU88" s="10" t="str">
        <f>if(ISNUMBER($B88), VLOOKUP(AD88, mapping!$A$2:$B99,2,false),)</f>
        <v/>
      </c>
      <c r="AV88" s="10" t="str">
        <f t="shared" si="6"/>
        <v/>
      </c>
      <c r="AW88" s="10" t="str">
        <f>if(ISNUMBER($B88), VLOOKUP(AF88, mapping!$A$2:$B99,2,false),)</f>
        <v/>
      </c>
      <c r="AX88" s="10" t="str">
        <f t="shared" si="7"/>
        <v/>
      </c>
      <c r="AY88" s="10" t="str">
        <f>if(ISNUMBER($B88), VLOOKUP(AH88, mapping!$A$2:$B99,2,false),)</f>
        <v/>
      </c>
      <c r="AZ88" s="10" t="str">
        <f t="shared" si="8"/>
        <v/>
      </c>
      <c r="BA88" s="10" t="str">
        <f>if(ISNUMBER($B88), VLOOKUP(AJ88, mapping!$A$2:$B99,2,false),)</f>
        <v/>
      </c>
      <c r="BB88" s="10" t="str">
        <f t="shared" si="9"/>
        <v/>
      </c>
      <c r="BC88" s="10" t="str">
        <f>if(ISNUMBER($B88), VLOOKUP(AL88, mapping!$A$2:$B99,2,false),)</f>
        <v/>
      </c>
      <c r="BD88" s="10" t="str">
        <f t="shared" ref="BD88:BE88" si="95">if(ISNUMBER($B88), IF(AM88="Not Answered","-",AM88),)</f>
        <v/>
      </c>
      <c r="BE88" s="10" t="str">
        <f t="shared" si="95"/>
        <v/>
      </c>
    </row>
    <row r="89">
      <c r="AO89" s="5" t="str">
        <f t="shared" si="3"/>
        <v/>
      </c>
      <c r="AP89" s="5" t="str">
        <f t="shared" si="4"/>
        <v/>
      </c>
      <c r="AQ89" s="5" t="str">
        <f>IFERROR(__xludf.DUMMYFUNCTION("if(ISNUMBER(B89),FILTER(P89:AA89,REGEXMATCH(P89:AA89, ""Not Answered"")=FALSE),)"),"")</f>
        <v/>
      </c>
      <c r="AR89" s="5" t="str">
        <f>if(ISNUMBER($D89), VLOOKUP(AQ89, konsulenter!$A$1:$B99,2,false),)</f>
        <v/>
      </c>
      <c r="AS89" s="10" t="str">
        <f>if(ISNUMBER($B89), VLOOKUP(AB89, mapping!$A$2:$B99,2,false),)</f>
        <v/>
      </c>
      <c r="AT89" s="10" t="str">
        <f t="shared" si="5"/>
        <v/>
      </c>
      <c r="AU89" s="10" t="str">
        <f>if(ISNUMBER($B89), VLOOKUP(AD89, mapping!$A$2:$B99,2,false),)</f>
        <v/>
      </c>
      <c r="AV89" s="10" t="str">
        <f t="shared" si="6"/>
        <v/>
      </c>
      <c r="AW89" s="10" t="str">
        <f>if(ISNUMBER($B89), VLOOKUP(AF89, mapping!$A$2:$B99,2,false),)</f>
        <v/>
      </c>
      <c r="AX89" s="10" t="str">
        <f t="shared" si="7"/>
        <v/>
      </c>
      <c r="AY89" s="10" t="str">
        <f>if(ISNUMBER($B89), VLOOKUP(AH89, mapping!$A$2:$B99,2,false),)</f>
        <v/>
      </c>
      <c r="AZ89" s="10" t="str">
        <f t="shared" si="8"/>
        <v/>
      </c>
      <c r="BA89" s="10" t="str">
        <f>if(ISNUMBER($B89), VLOOKUP(AJ89, mapping!$A$2:$B99,2,false),)</f>
        <v/>
      </c>
      <c r="BB89" s="10" t="str">
        <f t="shared" si="9"/>
        <v/>
      </c>
      <c r="BC89" s="10" t="str">
        <f>if(ISNUMBER($B89), VLOOKUP(AL89, mapping!$A$2:$B99,2,false),)</f>
        <v/>
      </c>
      <c r="BD89" s="10" t="str">
        <f t="shared" ref="BD89:BE89" si="96">if(ISNUMBER($B89), IF(AM89="Not Answered","-",AM89),)</f>
        <v/>
      </c>
      <c r="BE89" s="10" t="str">
        <f t="shared" si="96"/>
        <v/>
      </c>
    </row>
    <row r="90">
      <c r="AO90" s="5" t="str">
        <f t="shared" si="3"/>
        <v/>
      </c>
      <c r="AP90" s="5" t="str">
        <f t="shared" si="4"/>
        <v/>
      </c>
      <c r="AQ90" s="5" t="str">
        <f>IFERROR(__xludf.DUMMYFUNCTION("if(ISNUMBER(B90),FILTER(P90:AA90,REGEXMATCH(P90:AA90, ""Not Answered"")=FALSE),)"),"")</f>
        <v/>
      </c>
      <c r="AR90" s="5" t="str">
        <f>if(ISNUMBER($D90), VLOOKUP(AQ90, konsulenter!$A$1:$B99,2,false),)</f>
        <v/>
      </c>
      <c r="AS90" s="10" t="str">
        <f>if(ISNUMBER($B90), VLOOKUP(AB90, mapping!$A$2:$B99,2,false),)</f>
        <v/>
      </c>
      <c r="AT90" s="10" t="str">
        <f t="shared" si="5"/>
        <v/>
      </c>
      <c r="AU90" s="10" t="str">
        <f>if(ISNUMBER($B90), VLOOKUP(AD90, mapping!$A$2:$B99,2,false),)</f>
        <v/>
      </c>
      <c r="AV90" s="10" t="str">
        <f t="shared" si="6"/>
        <v/>
      </c>
      <c r="AW90" s="10" t="str">
        <f>if(ISNUMBER($B90), VLOOKUP(AF90, mapping!$A$2:$B99,2,false),)</f>
        <v/>
      </c>
      <c r="AX90" s="10" t="str">
        <f t="shared" si="7"/>
        <v/>
      </c>
      <c r="AY90" s="10" t="str">
        <f>if(ISNUMBER($B90), VLOOKUP(AH90, mapping!$A$2:$B99,2,false),)</f>
        <v/>
      </c>
      <c r="AZ90" s="10" t="str">
        <f t="shared" si="8"/>
        <v/>
      </c>
      <c r="BA90" s="10" t="str">
        <f>if(ISNUMBER($B90), VLOOKUP(AJ90, mapping!$A$2:$B99,2,false),)</f>
        <v/>
      </c>
      <c r="BB90" s="10" t="str">
        <f t="shared" si="9"/>
        <v/>
      </c>
      <c r="BC90" s="10" t="str">
        <f>if(ISNUMBER($B90), VLOOKUP(AL90, mapping!$A$2:$B99,2,false),)</f>
        <v/>
      </c>
      <c r="BD90" s="10" t="str">
        <f t="shared" ref="BD90:BE90" si="97">if(ISNUMBER($B90), IF(AM90="Not Answered","-",AM90),)</f>
        <v/>
      </c>
      <c r="BE90" s="10" t="str">
        <f t="shared" si="97"/>
        <v/>
      </c>
    </row>
    <row r="91">
      <c r="AO91" s="5" t="str">
        <f t="shared" si="3"/>
        <v/>
      </c>
      <c r="AP91" s="5" t="str">
        <f t="shared" si="4"/>
        <v/>
      </c>
      <c r="AQ91" s="5" t="str">
        <f>IFERROR(__xludf.DUMMYFUNCTION("if(ISNUMBER(B91),FILTER(P91:AA91,REGEXMATCH(P91:AA91, ""Not Answered"")=FALSE),)"),"")</f>
        <v/>
      </c>
      <c r="AR91" s="5" t="str">
        <f>if(ISNUMBER($D91), VLOOKUP(AQ91, konsulenter!$A$1:$B99,2,false),)</f>
        <v/>
      </c>
      <c r="AS91" s="10" t="str">
        <f>if(ISNUMBER($B91), VLOOKUP(AB91, mapping!$A$2:$B99,2,false),)</f>
        <v/>
      </c>
      <c r="AT91" s="10" t="str">
        <f t="shared" si="5"/>
        <v/>
      </c>
      <c r="AU91" s="10" t="str">
        <f>if(ISNUMBER($B91), VLOOKUP(AD91, mapping!$A$2:$B99,2,false),)</f>
        <v/>
      </c>
      <c r="AV91" s="10" t="str">
        <f t="shared" si="6"/>
        <v/>
      </c>
      <c r="AW91" s="10" t="str">
        <f>if(ISNUMBER($B91), VLOOKUP(AF91, mapping!$A$2:$B99,2,false),)</f>
        <v/>
      </c>
      <c r="AX91" s="10" t="str">
        <f t="shared" si="7"/>
        <v/>
      </c>
      <c r="AY91" s="10" t="str">
        <f>if(ISNUMBER($B91), VLOOKUP(AH91, mapping!$A$2:$B99,2,false),)</f>
        <v/>
      </c>
      <c r="AZ91" s="10" t="str">
        <f t="shared" si="8"/>
        <v/>
      </c>
      <c r="BA91" s="10" t="str">
        <f>if(ISNUMBER($B91), VLOOKUP(AJ91, mapping!$A$2:$B99,2,false),)</f>
        <v/>
      </c>
      <c r="BB91" s="10" t="str">
        <f t="shared" si="9"/>
        <v/>
      </c>
      <c r="BC91" s="10" t="str">
        <f>if(ISNUMBER($B91), VLOOKUP(AL91, mapping!$A$2:$B99,2,false),)</f>
        <v/>
      </c>
      <c r="BD91" s="10" t="str">
        <f t="shared" ref="BD91:BE91" si="98">if(ISNUMBER($B91), IF(AM91="Not Answered","-",AM91),)</f>
        <v/>
      </c>
      <c r="BE91" s="10" t="str">
        <f t="shared" si="98"/>
        <v/>
      </c>
    </row>
    <row r="92">
      <c r="AO92" s="5" t="str">
        <f t="shared" si="3"/>
        <v/>
      </c>
      <c r="AP92" s="5" t="str">
        <f t="shared" si="4"/>
        <v/>
      </c>
      <c r="AQ92" s="5" t="str">
        <f>IFERROR(__xludf.DUMMYFUNCTION("if(ISNUMBER(B92),FILTER(P92:AA92,REGEXMATCH(P92:AA92, ""Not Answered"")=FALSE),)"),"")</f>
        <v/>
      </c>
      <c r="AR92" s="5" t="str">
        <f>if(ISNUMBER($D92), VLOOKUP(AQ92, konsulenter!$A$1:$B99,2,false),)</f>
        <v/>
      </c>
      <c r="AS92" s="10" t="str">
        <f>if(ISNUMBER($B92), VLOOKUP(AB92, mapping!$A$2:$B99,2,false),)</f>
        <v/>
      </c>
      <c r="AT92" s="10" t="str">
        <f t="shared" si="5"/>
        <v/>
      </c>
      <c r="AU92" s="10" t="str">
        <f>if(ISNUMBER($B92), VLOOKUP(AD92, mapping!$A$2:$B99,2,false),)</f>
        <v/>
      </c>
      <c r="AV92" s="10" t="str">
        <f t="shared" si="6"/>
        <v/>
      </c>
      <c r="AW92" s="10" t="str">
        <f>if(ISNUMBER($B92), VLOOKUP(AF92, mapping!$A$2:$B99,2,false),)</f>
        <v/>
      </c>
      <c r="AX92" s="10" t="str">
        <f t="shared" si="7"/>
        <v/>
      </c>
      <c r="AY92" s="10" t="str">
        <f>if(ISNUMBER($B92), VLOOKUP(AH92, mapping!$A$2:$B99,2,false),)</f>
        <v/>
      </c>
      <c r="AZ92" s="10" t="str">
        <f t="shared" si="8"/>
        <v/>
      </c>
      <c r="BA92" s="10" t="str">
        <f>if(ISNUMBER($B92), VLOOKUP(AJ92, mapping!$A$2:$B99,2,false),)</f>
        <v/>
      </c>
      <c r="BB92" s="10" t="str">
        <f t="shared" si="9"/>
        <v/>
      </c>
      <c r="BC92" s="10" t="str">
        <f>if(ISNUMBER($B92), VLOOKUP(AL92, mapping!$A$2:$B99,2,false),)</f>
        <v/>
      </c>
      <c r="BD92" s="10" t="str">
        <f t="shared" ref="BD92:BE92" si="99">if(ISNUMBER($B92), IF(AM92="Not Answered","-",AM92),)</f>
        <v/>
      </c>
      <c r="BE92" s="10" t="str">
        <f t="shared" si="99"/>
        <v/>
      </c>
    </row>
    <row r="93">
      <c r="AO93" s="5" t="str">
        <f t="shared" si="3"/>
        <v/>
      </c>
      <c r="AP93" s="5" t="str">
        <f t="shared" si="4"/>
        <v/>
      </c>
      <c r="AQ93" s="5" t="str">
        <f>IFERROR(__xludf.DUMMYFUNCTION("if(ISNUMBER(B93),FILTER(P93:AA93,REGEXMATCH(P93:AA93, ""Not Answered"")=FALSE),)"),"")</f>
        <v/>
      </c>
      <c r="AR93" s="5" t="str">
        <f>if(ISNUMBER($D93), VLOOKUP(AQ93, konsulenter!$A$1:$B99,2,false),)</f>
        <v/>
      </c>
      <c r="AS93" s="10" t="str">
        <f>if(ISNUMBER($B93), VLOOKUP(AB93, mapping!$A$2:$B99,2,false),)</f>
        <v/>
      </c>
      <c r="AT93" s="10" t="str">
        <f t="shared" si="5"/>
        <v/>
      </c>
      <c r="AU93" s="10" t="str">
        <f>if(ISNUMBER($B93), VLOOKUP(AD93, mapping!$A$2:$B99,2,false),)</f>
        <v/>
      </c>
      <c r="AV93" s="10" t="str">
        <f t="shared" si="6"/>
        <v/>
      </c>
      <c r="AW93" s="10" t="str">
        <f>if(ISNUMBER($B93), VLOOKUP(AF93, mapping!$A$2:$B99,2,false),)</f>
        <v/>
      </c>
      <c r="AX93" s="10" t="str">
        <f t="shared" si="7"/>
        <v/>
      </c>
      <c r="AY93" s="10" t="str">
        <f>if(ISNUMBER($B93), VLOOKUP(AH93, mapping!$A$2:$B99,2,false),)</f>
        <v/>
      </c>
      <c r="AZ93" s="10" t="str">
        <f t="shared" si="8"/>
        <v/>
      </c>
      <c r="BA93" s="10" t="str">
        <f>if(ISNUMBER($B93), VLOOKUP(AJ93, mapping!$A$2:$B99,2,false),)</f>
        <v/>
      </c>
      <c r="BB93" s="10" t="str">
        <f t="shared" si="9"/>
        <v/>
      </c>
      <c r="BC93" s="10" t="str">
        <f>if(ISNUMBER($B93), VLOOKUP(AL93, mapping!$A$2:$B99,2,false),)</f>
        <v/>
      </c>
      <c r="BD93" s="10" t="str">
        <f t="shared" ref="BD93:BE93" si="100">if(ISNUMBER($B93), IF(AM93="Not Answered","-",AM93),)</f>
        <v/>
      </c>
      <c r="BE93" s="10" t="str">
        <f t="shared" si="100"/>
        <v/>
      </c>
    </row>
    <row r="94">
      <c r="AO94" s="5" t="str">
        <f t="shared" si="3"/>
        <v/>
      </c>
      <c r="AP94" s="5" t="str">
        <f t="shared" si="4"/>
        <v/>
      </c>
      <c r="AQ94" s="5" t="str">
        <f>IFERROR(__xludf.DUMMYFUNCTION("if(ISNUMBER(B94),FILTER(P94:AA94,REGEXMATCH(P94:AA94, ""Not Answered"")=FALSE),)"),"")</f>
        <v/>
      </c>
      <c r="AR94" s="5" t="str">
        <f>if(ISNUMBER($D94), VLOOKUP(AQ94, konsulenter!$A$1:$B99,2,false),)</f>
        <v/>
      </c>
      <c r="AS94" s="10" t="str">
        <f>if(ISNUMBER($B94), VLOOKUP(AB94, mapping!$A$2:$B99,2,false),)</f>
        <v/>
      </c>
      <c r="AT94" s="10" t="str">
        <f t="shared" si="5"/>
        <v/>
      </c>
      <c r="AU94" s="10" t="str">
        <f>if(ISNUMBER($B94), VLOOKUP(AD94, mapping!$A$2:$B99,2,false),)</f>
        <v/>
      </c>
      <c r="AV94" s="10" t="str">
        <f t="shared" si="6"/>
        <v/>
      </c>
      <c r="AW94" s="10" t="str">
        <f>if(ISNUMBER($B94), VLOOKUP(AF94, mapping!$A$2:$B99,2,false),)</f>
        <v/>
      </c>
      <c r="AX94" s="10" t="str">
        <f t="shared" si="7"/>
        <v/>
      </c>
      <c r="AY94" s="10" t="str">
        <f>if(ISNUMBER($B94), VLOOKUP(AH94, mapping!$A$2:$B99,2,false),)</f>
        <v/>
      </c>
      <c r="AZ94" s="10" t="str">
        <f t="shared" si="8"/>
        <v/>
      </c>
      <c r="BA94" s="10" t="str">
        <f>if(ISNUMBER($B94), VLOOKUP(AJ94, mapping!$A$2:$B99,2,false),)</f>
        <v/>
      </c>
      <c r="BB94" s="10" t="str">
        <f t="shared" si="9"/>
        <v/>
      </c>
      <c r="BC94" s="10" t="str">
        <f>if(ISNUMBER($B94), VLOOKUP(AL94, mapping!$A$2:$B99,2,false),)</f>
        <v/>
      </c>
      <c r="BD94" s="10" t="str">
        <f t="shared" ref="BD94:BE94" si="101">if(ISNUMBER($B94), IF(AM94="Not Answered","-",AM94),)</f>
        <v/>
      </c>
      <c r="BE94" s="10" t="str">
        <f t="shared" si="101"/>
        <v/>
      </c>
    </row>
    <row r="95">
      <c r="AO95" s="5" t="str">
        <f t="shared" si="3"/>
        <v/>
      </c>
      <c r="AP95" s="5" t="str">
        <f t="shared" si="4"/>
        <v/>
      </c>
      <c r="AQ95" s="5" t="str">
        <f>IFERROR(__xludf.DUMMYFUNCTION("if(ISNUMBER(B95),FILTER(P95:AA95,REGEXMATCH(P95:AA95, ""Not Answered"")=FALSE),)"),"")</f>
        <v/>
      </c>
      <c r="AR95" s="5" t="str">
        <f>if(ISNUMBER($D95), VLOOKUP(AQ95, konsulenter!$A$1:$B99,2,false),)</f>
        <v/>
      </c>
      <c r="AS95" s="10" t="str">
        <f>if(ISNUMBER($B95), VLOOKUP(AB95, mapping!$A$2:$B99,2,false),)</f>
        <v/>
      </c>
      <c r="AT95" s="10" t="str">
        <f t="shared" si="5"/>
        <v/>
      </c>
      <c r="AU95" s="10" t="str">
        <f>if(ISNUMBER($B95), VLOOKUP(AD95, mapping!$A$2:$B99,2,false),)</f>
        <v/>
      </c>
      <c r="AV95" s="10" t="str">
        <f t="shared" si="6"/>
        <v/>
      </c>
      <c r="AW95" s="10" t="str">
        <f>if(ISNUMBER($B95), VLOOKUP(AF95, mapping!$A$2:$B99,2,false),)</f>
        <v/>
      </c>
      <c r="AX95" s="10" t="str">
        <f t="shared" si="7"/>
        <v/>
      </c>
      <c r="AY95" s="10" t="str">
        <f>if(ISNUMBER($B95), VLOOKUP(AH95, mapping!$A$2:$B99,2,false),)</f>
        <v/>
      </c>
      <c r="AZ95" s="10" t="str">
        <f t="shared" si="8"/>
        <v/>
      </c>
      <c r="BA95" s="10" t="str">
        <f>if(ISNUMBER($B95), VLOOKUP(AJ95, mapping!$A$2:$B99,2,false),)</f>
        <v/>
      </c>
      <c r="BB95" s="10" t="str">
        <f t="shared" si="9"/>
        <v/>
      </c>
      <c r="BC95" s="10" t="str">
        <f>if(ISNUMBER($B95), VLOOKUP(AL95, mapping!$A$2:$B99,2,false),)</f>
        <v/>
      </c>
      <c r="BD95" s="10" t="str">
        <f t="shared" ref="BD95:BE95" si="102">if(ISNUMBER($B95), IF(AM95="Not Answered","-",AM95),)</f>
        <v/>
      </c>
      <c r="BE95" s="10" t="str">
        <f t="shared" si="102"/>
        <v/>
      </c>
    </row>
    <row r="96">
      <c r="AO96" s="5" t="str">
        <f t="shared" si="3"/>
        <v/>
      </c>
      <c r="AP96" s="5" t="str">
        <f t="shared" si="4"/>
        <v/>
      </c>
      <c r="AQ96" s="5" t="str">
        <f>IFERROR(__xludf.DUMMYFUNCTION("if(ISNUMBER(B96),FILTER(P96:AA96,REGEXMATCH(P96:AA96, ""Not Answered"")=FALSE),)"),"")</f>
        <v/>
      </c>
      <c r="AR96" s="5" t="str">
        <f>if(ISNUMBER($D96), VLOOKUP(AQ96, konsulenter!$A$1:$B99,2,false),)</f>
        <v/>
      </c>
      <c r="AS96" s="10" t="str">
        <f>if(ISNUMBER($B96), VLOOKUP(AB96, mapping!$A$2:$B99,2,false),)</f>
        <v/>
      </c>
      <c r="AT96" s="10" t="str">
        <f t="shared" si="5"/>
        <v/>
      </c>
      <c r="AU96" s="10" t="str">
        <f>if(ISNUMBER($B96), VLOOKUP(AD96, mapping!$A$2:$B99,2,false),)</f>
        <v/>
      </c>
      <c r="AV96" s="10" t="str">
        <f t="shared" si="6"/>
        <v/>
      </c>
      <c r="AW96" s="10" t="str">
        <f>if(ISNUMBER($B96), VLOOKUP(AF96, mapping!$A$2:$B99,2,false),)</f>
        <v/>
      </c>
      <c r="AX96" s="10" t="str">
        <f t="shared" si="7"/>
        <v/>
      </c>
      <c r="AY96" s="10" t="str">
        <f>if(ISNUMBER($B96), VLOOKUP(AH96, mapping!$A$2:$B99,2,false),)</f>
        <v/>
      </c>
      <c r="AZ96" s="10" t="str">
        <f t="shared" si="8"/>
        <v/>
      </c>
      <c r="BA96" s="10" t="str">
        <f>if(ISNUMBER($B96), VLOOKUP(AJ96, mapping!$A$2:$B99,2,false),)</f>
        <v/>
      </c>
      <c r="BB96" s="10" t="str">
        <f t="shared" si="9"/>
        <v/>
      </c>
      <c r="BC96" s="10" t="str">
        <f>if(ISNUMBER($B96), VLOOKUP(AL96, mapping!$A$2:$B99,2,false),)</f>
        <v/>
      </c>
      <c r="BD96" s="10" t="str">
        <f t="shared" ref="BD96:BE96" si="103">if(ISNUMBER($B96), IF(AM96="Not Answered","-",AM96),)</f>
        <v/>
      </c>
      <c r="BE96" s="10" t="str">
        <f t="shared" si="103"/>
        <v/>
      </c>
    </row>
    <row r="97">
      <c r="AO97" s="5" t="str">
        <f t="shared" si="3"/>
        <v/>
      </c>
      <c r="AP97" s="5" t="str">
        <f t="shared" si="4"/>
        <v/>
      </c>
      <c r="AQ97" s="5" t="str">
        <f>IFERROR(__xludf.DUMMYFUNCTION("if(ISNUMBER(B97),FILTER(P97:AA97,REGEXMATCH(P97:AA97, ""Not Answered"")=FALSE),)"),"")</f>
        <v/>
      </c>
      <c r="AR97" s="5" t="str">
        <f>if(ISNUMBER($D97), VLOOKUP(AQ97, konsulenter!$A$1:$B99,2,false),)</f>
        <v/>
      </c>
      <c r="AS97" s="10" t="str">
        <f>if(ISNUMBER($B97), VLOOKUP(AB97, mapping!$A$2:$B99,2,false),)</f>
        <v/>
      </c>
      <c r="AT97" s="10" t="str">
        <f t="shared" si="5"/>
        <v/>
      </c>
      <c r="AU97" s="10" t="str">
        <f>if(ISNUMBER($B97), VLOOKUP(AD97, mapping!$A$2:$B99,2,false),)</f>
        <v/>
      </c>
      <c r="AV97" s="10" t="str">
        <f t="shared" si="6"/>
        <v/>
      </c>
      <c r="AW97" s="10" t="str">
        <f>if(ISNUMBER($B97), VLOOKUP(AF97, mapping!$A$2:$B99,2,false),)</f>
        <v/>
      </c>
      <c r="AX97" s="10" t="str">
        <f t="shared" si="7"/>
        <v/>
      </c>
      <c r="AY97" s="10" t="str">
        <f>if(ISNUMBER($B97), VLOOKUP(AH97, mapping!$A$2:$B99,2,false),)</f>
        <v/>
      </c>
      <c r="AZ97" s="10" t="str">
        <f t="shared" si="8"/>
        <v/>
      </c>
      <c r="BA97" s="10" t="str">
        <f>if(ISNUMBER($B97), VLOOKUP(AJ97, mapping!$A$2:$B99,2,false),)</f>
        <v/>
      </c>
      <c r="BB97" s="10" t="str">
        <f t="shared" si="9"/>
        <v/>
      </c>
      <c r="BC97" s="10" t="str">
        <f>if(ISNUMBER($B97), VLOOKUP(AL97, mapping!$A$2:$B99,2,false),)</f>
        <v/>
      </c>
      <c r="BD97" s="10" t="str">
        <f t="shared" ref="BD97:BE97" si="104">if(ISNUMBER($B97), IF(AM97="Not Answered","-",AM97),)</f>
        <v/>
      </c>
      <c r="BE97" s="10" t="str">
        <f t="shared" si="104"/>
        <v/>
      </c>
    </row>
    <row r="98">
      <c r="AO98" s="5" t="str">
        <f t="shared" si="3"/>
        <v/>
      </c>
      <c r="AP98" s="5" t="str">
        <f t="shared" si="4"/>
        <v/>
      </c>
      <c r="AQ98" s="5" t="str">
        <f>IFERROR(__xludf.DUMMYFUNCTION("if(ISNUMBER(B98),FILTER(P98:AA98,REGEXMATCH(P98:AA98, ""Not Answered"")=FALSE),)"),"")</f>
        <v/>
      </c>
      <c r="AR98" s="5" t="str">
        <f>if(ISNUMBER($D98), VLOOKUP(AQ98, konsulenter!$A$1:$B99,2,false),)</f>
        <v/>
      </c>
      <c r="AS98" s="10" t="str">
        <f>if(ISNUMBER($B98), VLOOKUP(AB98, mapping!$A$2:$B99,2,false),)</f>
        <v/>
      </c>
      <c r="AT98" s="10" t="str">
        <f t="shared" si="5"/>
        <v/>
      </c>
      <c r="AU98" s="10" t="str">
        <f>if(ISNUMBER($B98), VLOOKUP(AD98, mapping!$A$2:$B99,2,false),)</f>
        <v/>
      </c>
      <c r="AV98" s="10" t="str">
        <f t="shared" si="6"/>
        <v/>
      </c>
      <c r="AW98" s="10" t="str">
        <f>if(ISNUMBER($B98), VLOOKUP(AF98, mapping!$A$2:$B99,2,false),)</f>
        <v/>
      </c>
      <c r="AX98" s="10" t="str">
        <f t="shared" si="7"/>
        <v/>
      </c>
      <c r="AY98" s="10" t="str">
        <f>if(ISNUMBER($B98), VLOOKUP(AH98, mapping!$A$2:$B99,2,false),)</f>
        <v/>
      </c>
      <c r="AZ98" s="10" t="str">
        <f t="shared" si="8"/>
        <v/>
      </c>
      <c r="BA98" s="10" t="str">
        <f>if(ISNUMBER($B98), VLOOKUP(AJ98, mapping!$A$2:$B99,2,false),)</f>
        <v/>
      </c>
      <c r="BB98" s="10" t="str">
        <f t="shared" si="9"/>
        <v/>
      </c>
      <c r="BC98" s="10" t="str">
        <f>if(ISNUMBER($B98), VLOOKUP(AL98, mapping!$A$2:$B99,2,false),)</f>
        <v/>
      </c>
      <c r="BD98" s="10" t="str">
        <f t="shared" ref="BD98:BE98" si="105">if(ISNUMBER($B98), IF(AM98="Not Answered","-",AM98),)</f>
        <v/>
      </c>
      <c r="BE98" s="10" t="str">
        <f t="shared" si="105"/>
        <v/>
      </c>
    </row>
    <row r="99">
      <c r="AO99" s="5" t="str">
        <f t="shared" si="3"/>
        <v/>
      </c>
      <c r="AP99" s="5" t="str">
        <f t="shared" si="4"/>
        <v/>
      </c>
      <c r="AQ99" s="5" t="str">
        <f>IFERROR(__xludf.DUMMYFUNCTION("if(ISNUMBER(B99),FILTER(P99:AA99,REGEXMATCH(P99:AA99, ""Not Answered"")=FALSE),)"),"")</f>
        <v/>
      </c>
      <c r="AR99" s="5" t="str">
        <f>if(ISNUMBER($D99), VLOOKUP(AQ99, konsulenter!$A$1:$B99,2,false),)</f>
        <v/>
      </c>
      <c r="AS99" s="10" t="str">
        <f>if(ISNUMBER($B99), VLOOKUP(AB99, mapping!$A$2:$B99,2,false),)</f>
        <v/>
      </c>
      <c r="AT99" s="10" t="str">
        <f t="shared" si="5"/>
        <v/>
      </c>
      <c r="AU99" s="10" t="str">
        <f>if(ISNUMBER($B99), VLOOKUP(AD99, mapping!$A$2:$B99,2,false),)</f>
        <v/>
      </c>
      <c r="AV99" s="10" t="str">
        <f t="shared" si="6"/>
        <v/>
      </c>
      <c r="AW99" s="10" t="str">
        <f>if(ISNUMBER($B99), VLOOKUP(AF99, mapping!$A$2:$B99,2,false),)</f>
        <v/>
      </c>
      <c r="AX99" s="10" t="str">
        <f t="shared" si="7"/>
        <v/>
      </c>
      <c r="AY99" s="10" t="str">
        <f>if(ISNUMBER($B99), VLOOKUP(AH99, mapping!$A$2:$B99,2,false),)</f>
        <v/>
      </c>
      <c r="AZ99" s="10" t="str">
        <f t="shared" si="8"/>
        <v/>
      </c>
      <c r="BA99" s="10" t="str">
        <f>if(ISNUMBER($B99), VLOOKUP(AJ99, mapping!$A$2:$B99,2,false),)</f>
        <v/>
      </c>
      <c r="BB99" s="10" t="str">
        <f t="shared" si="9"/>
        <v/>
      </c>
      <c r="BC99" s="10" t="str">
        <f>if(ISNUMBER($B99), VLOOKUP(AL99, mapping!$A$2:$B99,2,false),)</f>
        <v/>
      </c>
      <c r="BD99" s="10" t="str">
        <f t="shared" ref="BD99:BE99" si="106">if(ISNUMBER($B99), IF(AM99="Not Answered","-",AM99),)</f>
        <v/>
      </c>
      <c r="BE99" s="10" t="str">
        <f t="shared" si="106"/>
        <v/>
      </c>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4" t="s">
        <v>279</v>
      </c>
      <c r="B1" s="14" t="s">
        <v>280</v>
      </c>
      <c r="C1" s="14" t="s">
        <v>201</v>
      </c>
      <c r="D1" s="14" t="s">
        <v>367</v>
      </c>
      <c r="E1" s="15" t="s">
        <v>14</v>
      </c>
      <c r="F1" s="15" t="s">
        <v>15</v>
      </c>
      <c r="G1" s="15" t="s">
        <v>16</v>
      </c>
      <c r="H1" s="15" t="s">
        <v>17</v>
      </c>
      <c r="I1" s="15" t="s">
        <v>18</v>
      </c>
      <c r="J1" s="15" t="s">
        <v>19</v>
      </c>
      <c r="K1" s="15" t="s">
        <v>20</v>
      </c>
      <c r="L1" s="15" t="s">
        <v>21</v>
      </c>
      <c r="M1" s="15" t="s">
        <v>22</v>
      </c>
      <c r="N1" s="15" t="s">
        <v>23</v>
      </c>
      <c r="O1" s="15" t="s">
        <v>24</v>
      </c>
      <c r="P1" s="15" t="s">
        <v>25</v>
      </c>
      <c r="Q1" s="15" t="s">
        <v>26</v>
      </c>
      <c r="R1" s="15"/>
      <c r="S1" s="15"/>
      <c r="T1" s="15"/>
      <c r="U1" s="15"/>
      <c r="V1" s="15"/>
      <c r="W1" s="15"/>
      <c r="X1" s="15"/>
      <c r="Y1" s="15"/>
      <c r="Z1" s="15"/>
      <c r="AA1" s="15"/>
      <c r="AB1" s="15"/>
    </row>
    <row r="2">
      <c r="A2" s="11">
        <f>IFERROR(__xludf.DUMMYFUNCTION("query({{'transform - 2024'!AT2:BJ619};{'transform - 2023'!AN2:BD619};{'transform - 2022'!A2:Q619}},""select * where Col1 is not null"",false)"),45609.534421296295)</f>
        <v>45609.53442</v>
      </c>
      <c r="B2" s="5" t="str">
        <f>IFERROR(__xludf.DUMMYFUNCTION("""COMPUTED_VALUE"""),"Husbanken")</f>
        <v>Husbanken</v>
      </c>
      <c r="C2" s="5" t="str">
        <f>IFERROR(__xludf.DUMMYFUNCTION("""COMPUTED_VALUE"""),"Terje Wallem")</f>
        <v>Terje Wallem</v>
      </c>
      <c r="D2" s="5" t="str">
        <f>IFERROR(__xludf.DUMMYFUNCTION("""COMPUTED_VALUE"""),"#N/A")</f>
        <v>#N/A</v>
      </c>
      <c r="E2" s="5">
        <f>IFERROR(__xludf.DUMMYFUNCTION("""COMPUTED_VALUE"""),6.0)</f>
        <v>6</v>
      </c>
      <c r="F2" s="5" t="str">
        <f>IFERROR(__xludf.DUMMYFUNCTION("""COMPUTED_VALUE"""),"-")</f>
        <v>-</v>
      </c>
      <c r="G2" s="5">
        <f>IFERROR(__xludf.DUMMYFUNCTION("""COMPUTED_VALUE"""),6.0)</f>
        <v>6</v>
      </c>
      <c r="H2" s="5" t="str">
        <f>IFERROR(__xludf.DUMMYFUNCTION("""COMPUTED_VALUE"""),"-")</f>
        <v>-</v>
      </c>
      <c r="I2" s="5">
        <f>IFERROR(__xludf.DUMMYFUNCTION("""COMPUTED_VALUE"""),6.0)</f>
        <v>6</v>
      </c>
      <c r="J2" s="5" t="str">
        <f>IFERROR(__xludf.DUMMYFUNCTION("""COMPUTED_VALUE"""),"-")</f>
        <v>-</v>
      </c>
      <c r="K2" s="5">
        <f>IFERROR(__xludf.DUMMYFUNCTION("""COMPUTED_VALUE"""),6.0)</f>
        <v>6</v>
      </c>
      <c r="L2" s="5" t="str">
        <f>IFERROR(__xludf.DUMMYFUNCTION("""COMPUTED_VALUE"""),"-")</f>
        <v>-</v>
      </c>
      <c r="M2" s="5">
        <f>IFERROR(__xludf.DUMMYFUNCTION("""COMPUTED_VALUE"""),6.0)</f>
        <v>6</v>
      </c>
      <c r="N2" s="5" t="str">
        <f>IFERROR(__xludf.DUMMYFUNCTION("""COMPUTED_VALUE"""),"(Overhuset) Ikke vært så mye dialog, men mangler ikke noe :-)")</f>
        <v>(Overhuset) Ikke vært så mye dialog, men mangler ikke noe :-)</v>
      </c>
      <c r="O2" s="5">
        <f>IFERROR(__xludf.DUMMYFUNCTION("""COMPUTED_VALUE"""),5.0)</f>
        <v>5</v>
      </c>
      <c r="P2" s="5" t="str">
        <f>IFERROR(__xludf.DUMMYFUNCTION("""COMPUTED_VALUE"""),"-")</f>
        <v>-</v>
      </c>
      <c r="Q2" s="5" t="str">
        <f>IFERROR(__xludf.DUMMYFUNCTION("""COMPUTED_VALUE"""),"-")</f>
        <v>-</v>
      </c>
    </row>
    <row r="3">
      <c r="A3" s="11">
        <f>IFERROR(__xludf.DUMMYFUNCTION("""COMPUTED_VALUE"""),45582.54043981481)</f>
        <v>45582.54044</v>
      </c>
      <c r="B3" s="5" t="str">
        <f>IFERROR(__xludf.DUMMYFUNCTION("""COMPUTED_VALUE"""),"SPK")</f>
        <v>SPK</v>
      </c>
      <c r="C3" s="5" t="str">
        <f>IFERROR(__xludf.DUMMYFUNCTION("""COMPUTED_VALUE"""),"Ingebrigt Berg")</f>
        <v>Ingebrigt Berg</v>
      </c>
      <c r="D3" s="5" t="str">
        <f>IFERROR(__xludf.DUMMYFUNCTION("""COMPUTED_VALUE"""),"#N/A")</f>
        <v>#N/A</v>
      </c>
      <c r="E3" s="5">
        <f>IFERROR(__xludf.DUMMYFUNCTION("""COMPUTED_VALUE"""),6.0)</f>
        <v>6</v>
      </c>
      <c r="F3" s="5" t="str">
        <f>IFERROR(__xludf.DUMMYFUNCTION("""COMPUTED_VALUE"""),"Kunnskapsrik, omgjengelig, tar initiativ. ")</f>
        <v>Kunnskapsrik, omgjengelig, tar initiativ. </v>
      </c>
      <c r="G3" s="5">
        <f>IFERROR(__xludf.DUMMYFUNCTION("""COMPUTED_VALUE"""),6.0)</f>
        <v>6</v>
      </c>
      <c r="H3" s="5" t="str">
        <f>IFERROR(__xludf.DUMMYFUNCTION("""COMPUTED_VALUE"""),"-")</f>
        <v>-</v>
      </c>
      <c r="I3" s="5">
        <f>IFERROR(__xludf.DUMMYFUNCTION("""COMPUTED_VALUE"""),6.0)</f>
        <v>6</v>
      </c>
      <c r="J3" s="5" t="str">
        <f>IFERROR(__xludf.DUMMYFUNCTION("""COMPUTED_VALUE"""),"-")</f>
        <v>-</v>
      </c>
      <c r="K3" s="5">
        <f>IFERROR(__xludf.DUMMYFUNCTION("""COMPUTED_VALUE"""),6.0)</f>
        <v>6</v>
      </c>
      <c r="L3" s="5" t="str">
        <f>IFERROR(__xludf.DUMMYFUNCTION("""COMPUTED_VALUE"""),"-")</f>
        <v>-</v>
      </c>
      <c r="M3" s="5"/>
      <c r="N3" s="5" t="str">
        <f>IFERROR(__xludf.DUMMYFUNCTION("""COMPUTED_VALUE"""),"-")</f>
        <v>-</v>
      </c>
      <c r="O3" s="5">
        <f>IFERROR(__xludf.DUMMYFUNCTION("""COMPUTED_VALUE"""),6.0)</f>
        <v>6</v>
      </c>
      <c r="P3" s="5" t="str">
        <f>IFERROR(__xludf.DUMMYFUNCTION("""COMPUTED_VALUE"""),"-")</f>
        <v>-</v>
      </c>
      <c r="Q3" s="5" t="str">
        <f>IFERROR(__xludf.DUMMYFUNCTION("""COMPUTED_VALUE"""),"-")</f>
        <v>-</v>
      </c>
    </row>
    <row r="4">
      <c r="A4" s="11">
        <f>IFERROR(__xludf.DUMMYFUNCTION("""COMPUTED_VALUE"""),45582.515694444446)</f>
        <v>45582.51569</v>
      </c>
      <c r="B4" s="5" t="str">
        <f>IFERROR(__xludf.DUMMYFUNCTION("""COMPUTED_VALUE"""),"Entur")</f>
        <v>Entur</v>
      </c>
      <c r="C4" s="5" t="str">
        <f>IFERROR(__xludf.DUMMYFUNCTION("""COMPUTED_VALUE"""),"Bent Lorentzen")</f>
        <v>Bent Lorentzen</v>
      </c>
      <c r="D4" s="5" t="str">
        <f>IFERROR(__xludf.DUMMYFUNCTION("""COMPUTED_VALUE"""),"#N/A")</f>
        <v>#N/A</v>
      </c>
      <c r="E4" s="5">
        <f>IFERROR(__xludf.DUMMYFUNCTION("""COMPUTED_VALUE"""),6.0)</f>
        <v>6</v>
      </c>
      <c r="F4" s="5" t="str">
        <f>IFERROR(__xludf.DUMMYFUNCTION("""COMPUTED_VALUE"""),"Bent er en svært kompetent teknolog som leverer arbeid av høy kvalitet. Hans erfaring og kompetanse innenfor feltet har bidratt til gode diskusjoner i teamet, gode løsninger, kunnskapsdeling og har vært med på å dra teamet i en veldig god retning. ")</f>
        <v>Bent er en svært kompetent teknolog som leverer arbeid av høy kvalitet. Hans erfaring og kompetanse innenfor feltet har bidratt til gode diskusjoner i teamet, gode løsninger, kunnskapsdeling og har vært med på å dra teamet i en veldig god retning. </v>
      </c>
      <c r="G4" s="5">
        <f>IFERROR(__xludf.DUMMYFUNCTION("""COMPUTED_VALUE"""),6.0)</f>
        <v>6</v>
      </c>
      <c r="H4" s="5" t="str">
        <f>IFERROR(__xludf.DUMMYFUNCTION("""COMPUTED_VALUE"""),"Bent har absolutt den nødvendige kompetansen for det arbeidet Entur trenger utført, og av de få områdene han ikke hadde kunnskap til fra før har han vist stor lærevilje og raskt kommet opp på et høyt kunnskapsnivå for ny teknologi og ikke minst domene.")</f>
        <v>Bent har absolutt den nødvendige kompetansen for det arbeidet Entur trenger utført, og av de få områdene han ikke hadde kunnskap til fra før har han vist stor lærevilje og raskt kommet opp på et høyt kunnskapsnivå for ny teknologi og ikke minst domene.</v>
      </c>
      <c r="I4" s="5">
        <f>IFERROR(__xludf.DUMMYFUNCTION("""COMPUTED_VALUE"""),6.0)</f>
        <v>6</v>
      </c>
      <c r="J4" s="5" t="str">
        <f>IFERROR(__xludf.DUMMYFUNCTION("""COMPUTED_VALUE"""),"Som nevnt som kommentar i det første spørsmålet bidrar Bent i aller største grad til kompetansedeling innad i teamet. Hans evne til å vise forståelse og tålmodighet for de som skal tilegne seg ny kunnskap gjør han til en god mentor.")</f>
        <v>Som nevnt som kommentar i det første spørsmålet bidrar Bent i aller største grad til kompetansedeling innad i teamet. Hans evne til å vise forståelse og tålmodighet for de som skal tilegne seg ny kunnskap gjør han til en god mentor.</v>
      </c>
      <c r="K4" s="5">
        <f>IFERROR(__xludf.DUMMYFUNCTION("""COMPUTED_VALUE"""),6.0)</f>
        <v>6</v>
      </c>
      <c r="L4" s="5" t="str">
        <f>IFERROR(__xludf.DUMMYFUNCTION("""COMPUTED_VALUE"""),"Bent er veldig samarbeidsvillig og stiller alltid opp på kort varsel hvis noen trenger hjelp eller ønsker å arbeide sammen med ham. Bent og jeg (produktleder) har ukentlige møter for å planlegge uken jeg synes er veldig verdifullt. Han deltar alltid flitt"&amp;"ig i møter, har tydelige meninger, men er også alltid åpen for andres meninger og er villig til å diskutere emner med teamet før en endelig beslutning tas.")</f>
        <v>Bent er veldig samarbeidsvillig og stiller alltid opp på kort varsel hvis noen trenger hjelp eller ønsker å arbeide sammen med ham. Bent og jeg (produktleder) har ukentlige møter for å planlegge uken jeg synes er veldig verdifullt. Han deltar alltid flittig i møter, har tydelige meninger, men er også alltid åpen for andres meninger og er villig til å diskutere emner med teamet før en endelig beslutning tas.</v>
      </c>
      <c r="M4" s="5"/>
      <c r="N4" s="5" t="str">
        <f>IFERROR(__xludf.DUMMYFUNCTION("""COMPUTED_VALUE"""),"-")</f>
        <v>-</v>
      </c>
      <c r="O4" s="5">
        <f>IFERROR(__xludf.DUMMYFUNCTION("""COMPUTED_VALUE"""),6.0)</f>
        <v>6</v>
      </c>
      <c r="P4" s="5" t="str">
        <f>IFERROR(__xludf.DUMMYFUNCTION("""COMPUTED_VALUE"""),"-")</f>
        <v>-</v>
      </c>
      <c r="Q4" s="5" t="str">
        <f>IFERROR(__xludf.DUMMYFUNCTION("""COMPUTED_VALUE"""),"-")</f>
        <v>-</v>
      </c>
    </row>
    <row r="5">
      <c r="A5" s="11">
        <f>IFERROR(__xludf.DUMMYFUNCTION("""COMPUTED_VALUE"""),45582.563298611116)</f>
        <v>45582.5633</v>
      </c>
      <c r="B5" s="5" t="str">
        <f>IFERROR(__xludf.DUMMYFUNCTION("""COMPUTED_VALUE"""),"Entur")</f>
        <v>Entur</v>
      </c>
      <c r="C5" s="5" t="str">
        <f>IFERROR(__xludf.DUMMYFUNCTION("""COMPUTED_VALUE"""),"Frederik Rønnevig")</f>
        <v>Frederik Rønnevig</v>
      </c>
      <c r="D5" s="5" t="str">
        <f>IFERROR(__xludf.DUMMYFUNCTION("""COMPUTED_VALUE"""),"#N/A")</f>
        <v>#N/A</v>
      </c>
      <c r="E5" s="5">
        <f>IFERROR(__xludf.DUMMYFUNCTION("""COMPUTED_VALUE"""),6.0)</f>
        <v>6</v>
      </c>
      <c r="F5" s="5" t="str">
        <f>IFERROR(__xludf.DUMMYFUNCTION("""COMPUTED_VALUE"""),"Frederik har hovedansvaret for DevOps i teamet, og har bidratt til at teamet følger den ønskede infrastrukturen i Entur på en svært god måte i et helt nyoppstartet team (CI/CD-løp, GCP, tilgangsstyring mm). Han har også levert godt på selve applikasjonen "&amp;"vi utvikler på.")</f>
        <v>Frederik har hovedansvaret for DevOps i teamet, og har bidratt til at teamet følger den ønskede infrastrukturen i Entur på en svært god måte i et helt nyoppstartet team (CI/CD-løp, GCP, tilgangsstyring mm). Han har også levert godt på selve applikasjonen vi utvikler på.</v>
      </c>
      <c r="G5" s="5">
        <f>IFERROR(__xludf.DUMMYFUNCTION("""COMPUTED_VALUE"""),6.0)</f>
        <v>6</v>
      </c>
      <c r="H5" s="5" t="str">
        <f>IFERROR(__xludf.DUMMYFUNCTION("""COMPUTED_VALUE"""),"Frederik har veldig god teknisk kompetanse både innenfor programmering og DevOps. Han er også svært lærevillig og setter alltid pris på å få nye oppgaver med teknologier han ikke har brukt før. ")</f>
        <v>Frederik har veldig god teknisk kompetanse både innenfor programmering og DevOps. Han er også svært lærevillig og setter alltid pris på å få nye oppgaver med teknologier han ikke har brukt før. </v>
      </c>
      <c r="I5" s="5">
        <f>IFERROR(__xludf.DUMMYFUNCTION("""COMPUTED_VALUE"""),6.0)</f>
        <v>6</v>
      </c>
      <c r="J5" s="5" t="str">
        <f>IFERROR(__xludf.DUMMYFUNCTION("""COMPUTED_VALUE"""),"Frederik er kanskje den på teamet som er aller best til å dokumentere både kode og prosesser i teamet, som legger til rette for at både teamet og eksterne enkelt kan sette seg inn i kode og prosesser og forstå hans tankeprosess ved valg. Han har også bidr"&amp;"att på dokumentasjonen til andre team for å gjøre det enklere for nestemann som skal lære seg det samme. ")</f>
        <v>Frederik er kanskje den på teamet som er aller best til å dokumentere både kode og prosesser i teamet, som legger til rette for at både teamet og eksterne enkelt kan sette seg inn i kode og prosesser og forstå hans tankeprosess ved valg. Han har også bidratt på dokumentasjonen til andre team for å gjøre det enklere for nestemann som skal lære seg det samme. </v>
      </c>
      <c r="K5" s="5">
        <f>IFERROR(__xludf.DUMMYFUNCTION("""COMPUTED_VALUE"""),6.0)</f>
        <v>6</v>
      </c>
      <c r="L5" s="5" t="str">
        <f>IFERROR(__xludf.DUMMYFUNCTION("""COMPUTED_VALUE"""),"Jeg er generelt svært fornøyd med både samarbeidet og kommunikasjonen til Frederik. Han stiller også alltid opp hvis noen trenger hjelp, løser gjerne oppgaver med andre og bidrar alltid til god stemning i teamet. Fordi jeg setter veldig pris på hans menin"&amp;"ger skulle jeg kanskje ønske at han kunne vært enda litt mer på/med i diskusjoner i møter, men generelt er jeg svært fornøyd med samarbeidet vårt.")</f>
        <v>Jeg er generelt svært fornøyd med både samarbeidet og kommunikasjonen til Frederik. Han stiller også alltid opp hvis noen trenger hjelp, løser gjerne oppgaver med andre og bidrar alltid til god stemning i teamet. Fordi jeg setter veldig pris på hans meninger skulle jeg kanskje ønske at han kunne vært enda litt mer på/med i diskusjoner i møter, men generelt er jeg svært fornøyd med samarbeidet vårt.</v>
      </c>
      <c r="M5" s="5"/>
      <c r="N5" s="5" t="str">
        <f>IFERROR(__xludf.DUMMYFUNCTION("""COMPUTED_VALUE"""),"-")</f>
        <v>-</v>
      </c>
      <c r="O5" s="5">
        <f>IFERROR(__xludf.DUMMYFUNCTION("""COMPUTED_VALUE"""),6.0)</f>
        <v>6</v>
      </c>
      <c r="P5" s="5" t="str">
        <f>IFERROR(__xludf.DUMMYFUNCTION("""COMPUTED_VALUE"""),"-")</f>
        <v>-</v>
      </c>
      <c r="Q5" s="5" t="str">
        <f>IFERROR(__xludf.DUMMYFUNCTION("""COMPUTED_VALUE"""),"-")</f>
        <v>-</v>
      </c>
    </row>
    <row r="6">
      <c r="A6" s="11">
        <f>IFERROR(__xludf.DUMMYFUNCTION("""COMPUTED_VALUE"""),45582.63717592593)</f>
        <v>45582.63718</v>
      </c>
      <c r="B6" s="5" t="str">
        <f>IFERROR(__xludf.DUMMYFUNCTION("""COMPUTED_VALUE"""),"Ruter/TET Digital")</f>
        <v>Ruter/TET Digital</v>
      </c>
      <c r="C6" s="5" t="str">
        <f>IFERROR(__xludf.DUMMYFUNCTION("""COMPUTED_VALUE"""),"David Børresen")</f>
        <v>David Børresen</v>
      </c>
      <c r="D6" s="5" t="str">
        <f>IFERROR(__xludf.DUMMYFUNCTION("""COMPUTED_VALUE"""),"#N/A")</f>
        <v>#N/A</v>
      </c>
      <c r="E6" s="5">
        <f>IFERROR(__xludf.DUMMYFUNCTION("""COMPUTED_VALUE"""),6.0)</f>
        <v>6</v>
      </c>
      <c r="F6" s="5" t="str">
        <f>IFERROR(__xludf.DUMMYFUNCTION("""COMPUTED_VALUE"""),"Ekstremt kunnig inom sitt fag. Leverarar alltid. Har gjort ett arbete jag har svårt att se att någon andra kan göra lika bra.")</f>
        <v>Ekstremt kunnig inom sitt fag. Leverarar alltid. Har gjort ett arbete jag har svårt att se att någon andra kan göra lika bra.</v>
      </c>
      <c r="G6" s="5">
        <f>IFERROR(__xludf.DUMMYFUNCTION("""COMPUTED_VALUE"""),6.0)</f>
        <v>6</v>
      </c>
      <c r="H6" s="5" t="str">
        <f>IFERROR(__xludf.DUMMYFUNCTION("""COMPUTED_VALUE"""),"Otveksamt")</f>
        <v>Otveksamt</v>
      </c>
      <c r="I6" s="5">
        <f>IFERROR(__xludf.DUMMYFUNCTION("""COMPUTED_VALUE"""),4.0)</f>
        <v>4</v>
      </c>
      <c r="J6" s="5" t="str">
        <f>IFERROR(__xludf.DUMMYFUNCTION("""COMPUTED_VALUE"""),"Båda konsulenterna sitter på så bra kompetans som är högre än andra i sällskapet. Jag skulle gärna se att dom delar med sig mer av det. Kan se att det kan vara aktuellt att dom delar med sig av sitt arbete i mycket större utsträckning på Ruter/TET. Kan va"&amp;"ra mer aktuellt när vi har mer på plats att visa mer emot ledelsen ect")</f>
        <v>Båda konsulenterna sitter på så bra kompetans som är högre än andra i sällskapet. Jag skulle gärna se att dom delar med sig mer av det. Kan se att det kan vara aktuellt att dom delar med sig av sitt arbete i mycket större utsträckning på Ruter/TET. Kan vara mer aktuellt när vi har mer på plats att visa mer emot ledelsen ect</v>
      </c>
      <c r="K6" s="5">
        <f>IFERROR(__xludf.DUMMYFUNCTION("""COMPUTED_VALUE"""),6.0)</f>
        <v>6</v>
      </c>
      <c r="L6" s="5" t="str">
        <f>IFERROR(__xludf.DUMMYFUNCTION("""COMPUTED_VALUE"""),"Superenkelt att jobba med, enkel transparant kommunikation. Vågar komma med bra feedback ifall han inte är enig i saker. Alltid trevligt att prata med.")</f>
        <v>Superenkelt att jobba med, enkel transparant kommunikation. Vågar komma med bra feedback ifall han inte är enig i saker. Alltid trevligt att prata med.</v>
      </c>
      <c r="M6" s="5">
        <f>IFERROR(__xludf.DUMMYFUNCTION("""COMPUTED_VALUE"""),4.0)</f>
        <v>4</v>
      </c>
      <c r="N6" s="5" t="str">
        <f>IFERROR(__xludf.DUMMYFUNCTION("""COMPUTED_VALUE"""),"Osäker på denna, Känner egentligen att jag inte har ett direkt förhållande emot JPro")</f>
        <v>Osäker på denna, Känner egentligen att jag inte har ett direkt förhållande emot JPro</v>
      </c>
      <c r="O6" s="5">
        <f>IFERROR(__xludf.DUMMYFUNCTION("""COMPUTED_VALUE"""),5.0)</f>
        <v>5</v>
      </c>
      <c r="P6" s="5" t="str">
        <f>IFERROR(__xludf.DUMMYFUNCTION("""COMPUTED_VALUE"""),"Smakar det så kostar det är väll det dom säger.")</f>
        <v>Smakar det så kostar det är väll det dom säger.</v>
      </c>
      <c r="Q6" s="5" t="str">
        <f>IFERROR(__xludf.DUMMYFUNCTION("""COMPUTED_VALUE"""),"Inte för tillfället ifrån Jpro")</f>
        <v>Inte för tillfället ifrån Jpro</v>
      </c>
    </row>
    <row r="7">
      <c r="A7" s="11">
        <f>IFERROR(__xludf.DUMMYFUNCTION("""COMPUTED_VALUE"""),45582.6487037037)</f>
        <v>45582.6487</v>
      </c>
      <c r="B7" s="5" t="str">
        <f>IFERROR(__xludf.DUMMYFUNCTION("""COMPUTED_VALUE"""),"Ruter/TET Digital")</f>
        <v>Ruter/TET Digital</v>
      </c>
      <c r="C7" s="5" t="str">
        <f>IFERROR(__xludf.DUMMYFUNCTION("""COMPUTED_VALUE"""),"Ole Kristian Fjærestad")</f>
        <v>Ole Kristian Fjærestad</v>
      </c>
      <c r="D7" s="5" t="str">
        <f>IFERROR(__xludf.DUMMYFUNCTION("""COMPUTED_VALUE"""),"#N/A")</f>
        <v>#N/A</v>
      </c>
      <c r="E7" s="5">
        <f>IFERROR(__xludf.DUMMYFUNCTION("""COMPUTED_VALUE"""),6.0)</f>
        <v>6</v>
      </c>
      <c r="F7" s="5" t="str">
        <f>IFERROR(__xludf.DUMMYFUNCTION("""COMPUTED_VALUE"""),"För mig känns det som Ole Kristian inte bara tar design som facit, utan höjer arbetet och tänker ett steg längre. För mig är det ett signalement för en väldigt duktig utvecklare. Allt som jag sätt Ole kristian levererar är i hög klass.")</f>
        <v>För mig känns det som Ole Kristian inte bara tar design som facit, utan höjer arbetet och tänker ett steg längre. För mig är det ett signalement för en väldigt duktig utvecklare. Allt som jag sätt Ole kristian levererar är i hög klass.</v>
      </c>
      <c r="G7" s="5">
        <f>IFERROR(__xludf.DUMMYFUNCTION("""COMPUTED_VALUE"""),6.0)</f>
        <v>6</v>
      </c>
      <c r="H7" s="5" t="str">
        <f>IFERROR(__xludf.DUMMYFUNCTION("""COMPUTED_VALUE"""),"Absolut.")</f>
        <v>Absolut.</v>
      </c>
      <c r="I7" s="5">
        <f>IFERROR(__xludf.DUMMYFUNCTION("""COMPUTED_VALUE"""),4.0)</f>
        <v>4</v>
      </c>
      <c r="J7" s="5" t="str">
        <f>IFERROR(__xludf.DUMMYFUNCTION("""COMPUTED_VALUE"""),"Se min tidigare kommentar. Jag skulle gärna se (kanske i en framtid när mer är på plats) att Ole kristian delar med sig mer av sitt arbete bredare inom organisationen. Tror mycket av arbetet är väldigt uppskattat av utvecklare, men jag vill gärna att andr"&amp;"a fag ser nyttan och kvaliteten.")</f>
        <v>Se min tidigare kommentar. Jag skulle gärna se (kanske i en framtid när mer är på plats) att Ole kristian delar med sig mer av sitt arbete bredare inom organisationen. Tror mycket av arbetet är väldigt uppskattat av utvecklare, men jag vill gärna att andra fag ser nyttan och kvaliteten.</v>
      </c>
      <c r="K7" s="5">
        <f>IFERROR(__xludf.DUMMYFUNCTION("""COMPUTED_VALUE"""),6.0)</f>
        <v>6</v>
      </c>
      <c r="L7" s="5" t="str">
        <f>IFERROR(__xludf.DUMMYFUNCTION("""COMPUTED_VALUE"""),"Ole kristian är superenkel att jobba med, Kommer med bra inspel och tankar. Alltid ett nöje att prata med och jag ser fram emot att sitta sammen med på kontoret.")</f>
        <v>Ole kristian är superenkel att jobba med, Kommer med bra inspel och tankar. Alltid ett nöje att prata med och jag ser fram emot att sitta sammen med på kontoret.</v>
      </c>
      <c r="M7" s="5">
        <f>IFERROR(__xludf.DUMMYFUNCTION("""COMPUTED_VALUE"""),4.0)</f>
        <v>4</v>
      </c>
      <c r="N7" s="5" t="str">
        <f>IFERROR(__xludf.DUMMYFUNCTION("""COMPUTED_VALUE"""),"Se tidigare kommentar om detta, har som sagt inget direkt förhållande till Jpro")</f>
        <v>Se tidigare kommentar om detta, har som sagt inget direkt förhållande till Jpro</v>
      </c>
      <c r="O7" s="5">
        <f>IFERROR(__xludf.DUMMYFUNCTION("""COMPUTED_VALUE"""),5.0)</f>
        <v>5</v>
      </c>
      <c r="P7" s="5" t="str">
        <f>IFERROR(__xludf.DUMMYFUNCTION("""COMPUTED_VALUE"""),"Smakar det så kostar det.")</f>
        <v>Smakar det så kostar det.</v>
      </c>
      <c r="Q7" s="5" t="str">
        <f>IFERROR(__xludf.DUMMYFUNCTION("""COMPUTED_VALUE"""),"Nej, inte nu")</f>
        <v>Nej, inte nu</v>
      </c>
    </row>
    <row r="8">
      <c r="A8" s="11">
        <f>IFERROR(__xludf.DUMMYFUNCTION("""COMPUTED_VALUE"""),45585.556805555556)</f>
        <v>45585.55681</v>
      </c>
      <c r="B8" s="5" t="str">
        <f>IFERROR(__xludf.DUMMYFUNCTION("""COMPUTED_VALUE"""),"NRK")</f>
        <v>NRK</v>
      </c>
      <c r="C8" s="5" t="str">
        <f>IFERROR(__xludf.DUMMYFUNCTION("""COMPUTED_VALUE"""),"Audun Småge")</f>
        <v>Audun Småge</v>
      </c>
      <c r="D8" s="5" t="str">
        <f>IFERROR(__xludf.DUMMYFUNCTION("""COMPUTED_VALUE"""),"#N/A")</f>
        <v>#N/A</v>
      </c>
      <c r="E8" s="5">
        <f>IFERROR(__xludf.DUMMYFUNCTION("""COMPUTED_VALUE"""),6.0)</f>
        <v>6</v>
      </c>
      <c r="F8" s="5" t="str">
        <f>IFERROR(__xludf.DUMMYFUNCTION("""COMPUTED_VALUE"""),"-")</f>
        <v>-</v>
      </c>
      <c r="G8" s="5">
        <f>IFERROR(__xludf.DUMMYFUNCTION("""COMPUTED_VALUE"""),6.0)</f>
        <v>6</v>
      </c>
      <c r="H8" s="5" t="str">
        <f>IFERROR(__xludf.DUMMYFUNCTION("""COMPUTED_VALUE"""),"han er den på teamet med best kompetanse")</f>
        <v>han er den på teamet med best kompetanse</v>
      </c>
      <c r="I8" s="5">
        <f>IFERROR(__xludf.DUMMYFUNCTION("""COMPUTED_VALUE"""),6.0)</f>
        <v>6</v>
      </c>
      <c r="J8" s="5" t="str">
        <f>IFERROR(__xludf.DUMMYFUNCTION("""COMPUTED_VALUE"""),"kjempefornøyd og håper å kunne få jobbe med ham veldig mye lengre!")</f>
        <v>kjempefornøyd og håper å kunne få jobbe med ham veldig mye lengre!</v>
      </c>
      <c r="K8" s="5">
        <f>IFERROR(__xludf.DUMMYFUNCTION("""COMPUTED_VALUE"""),6.0)</f>
        <v>6</v>
      </c>
      <c r="L8" s="5" t="str">
        <f>IFERROR(__xludf.DUMMYFUNCTION("""COMPUTED_VALUE"""),"har likt alle konsulentene jeg har jobbet med og møtt fra JPro")</f>
        <v>har likt alle konsulentene jeg har jobbet med og møtt fra JPro</v>
      </c>
      <c r="M8" s="5">
        <f>IFERROR(__xludf.DUMMYFUNCTION("""COMPUTED_VALUE"""),6.0)</f>
        <v>6</v>
      </c>
      <c r="N8" s="5" t="str">
        <f>IFERROR(__xludf.DUMMYFUNCTION("""COMPUTED_VALUE"""),"har ikke hatt veldig mye med dem direkte selv, bortsatt fra via Audun")</f>
        <v>har ikke hatt veldig mye med dem direkte selv, bortsatt fra via Audun</v>
      </c>
      <c r="O8" s="5">
        <f>IFERROR(__xludf.DUMMYFUNCTION("""COMPUTED_VALUE"""),6.0)</f>
        <v>6</v>
      </c>
      <c r="P8" s="5" t="str">
        <f>IFERROR(__xludf.DUMMYFUNCTION("""COMPUTED_VALUE"""),"akkurat nå er han den jeg trenger mest på teamet, og det er verd prisen")</f>
        <v>akkurat nå er han den jeg trenger mest på teamet, og det er verd prisen</v>
      </c>
      <c r="Q8" s="5" t="str">
        <f>IFERROR(__xludf.DUMMYFUNCTION("""COMPUTED_VALUE"""),"-")</f>
        <v>-</v>
      </c>
    </row>
    <row r="9">
      <c r="A9" s="11">
        <f>IFERROR(__xludf.DUMMYFUNCTION("""COMPUTED_VALUE"""),45588.56618055556)</f>
        <v>45588.56618</v>
      </c>
      <c r="B9" s="5" t="str">
        <f>IFERROR(__xludf.DUMMYFUNCTION("""COMPUTED_VALUE"""),"Aker Solutions")</f>
        <v>Aker Solutions</v>
      </c>
      <c r="C9" s="5" t="str">
        <f>IFERROR(__xludf.DUMMYFUNCTION("""COMPUTED_VALUE"""),"Michael Karén")</f>
        <v>Michael Karén</v>
      </c>
      <c r="D9" s="5" t="str">
        <f>IFERROR(__xludf.DUMMYFUNCTION("""COMPUTED_VALUE"""),"#N/A")</f>
        <v>#N/A</v>
      </c>
      <c r="E9" s="5">
        <f>IFERROR(__xludf.DUMMYFUNCTION("""COMPUTED_VALUE"""),6.0)</f>
        <v>6</v>
      </c>
      <c r="F9" s="5" t="str">
        <f>IFERROR(__xludf.DUMMYFUNCTION("""COMPUTED_VALUE"""),"Veldig godt fornøyd med Michael's innsats.
Han tar ansvar og bidrar aktivt med gode innspill, i motsetning til å 'bare gjøre som han får beskjed om'.")</f>
        <v>Veldig godt fornøyd med Michael's innsats.
Han tar ansvar og bidrar aktivt med gode innspill, i motsetning til å 'bare gjøre som han får beskjed om'.</v>
      </c>
      <c r="G9" s="5">
        <f>IFERROR(__xludf.DUMMYFUNCTION("""COMPUTED_VALUE"""),6.0)</f>
        <v>6</v>
      </c>
      <c r="H9" s="5" t="str">
        <f>IFERROR(__xludf.DUMMYFUNCTION("""COMPUTED_VALUE"""),"Savner ingenting")</f>
        <v>Savner ingenting</v>
      </c>
      <c r="I9" s="5">
        <f>IFERROR(__xludf.DUMMYFUNCTION("""COMPUTED_VALUE"""),6.0)</f>
        <v>6</v>
      </c>
      <c r="J9" s="5" t="str">
        <f>IFERROR(__xludf.DUMMYFUNCTION("""COMPUTED_VALUE"""),"Vanskelig å kommentere direkte da jeg ikke er utvikler selv, men mitt inntrykk er at FE teamet jobber godt sammen")</f>
        <v>Vanskelig å kommentere direkte da jeg ikke er utvikler selv, men mitt inntrykk er at FE teamet jobber godt sammen</v>
      </c>
      <c r="K9" s="5">
        <f>IFERROR(__xludf.DUMMYFUNCTION("""COMPUTED_VALUE"""),6.0)</f>
        <v>6</v>
      </c>
      <c r="L9" s="5" t="str">
        <f>IFERROR(__xludf.DUMMYFUNCTION("""COMPUTED_VALUE"""),"Fungerer veldig bra.")</f>
        <v>Fungerer veldig bra.</v>
      </c>
      <c r="M9" s="5"/>
      <c r="N9" s="5" t="str">
        <f>IFERROR(__xludf.DUMMYFUNCTION("""COMPUTED_VALUE"""),"-")</f>
        <v>-</v>
      </c>
      <c r="O9" s="5">
        <f>IFERROR(__xludf.DUMMYFUNCTION("""COMPUTED_VALUE"""),5.0)</f>
        <v>5</v>
      </c>
      <c r="P9" s="5" t="str">
        <f>IFERROR(__xludf.DUMMYFUNCTION("""COMPUTED_VALUE"""),"Har ikke innsyn i kostnader")</f>
        <v>Har ikke innsyn i kostnader</v>
      </c>
      <c r="Q9" s="5" t="str">
        <f>IFERROR(__xludf.DUMMYFUNCTION("""COMPUTED_VALUE"""),"Ingenting konkret.")</f>
        <v>Ingenting konkret.</v>
      </c>
    </row>
    <row r="10">
      <c r="A10" s="11">
        <f>IFERROR(__xludf.DUMMYFUNCTION("""COMPUTED_VALUE"""),45588.657546296294)</f>
        <v>45588.65755</v>
      </c>
      <c r="B10" s="5" t="str">
        <f>IFERROR(__xludf.DUMMYFUNCTION("""COMPUTED_VALUE"""),"Statnett")</f>
        <v>Statnett</v>
      </c>
      <c r="C10" s="5" t="str">
        <f>IFERROR(__xludf.DUMMYFUNCTION("""COMPUTED_VALUE"""),"Frode Roxrud Gill")</f>
        <v>Frode Roxrud Gill</v>
      </c>
      <c r="D10" s="5" t="str">
        <f>IFERROR(__xludf.DUMMYFUNCTION("""COMPUTED_VALUE"""),"#N/A")</f>
        <v>#N/A</v>
      </c>
      <c r="E10" s="5">
        <f>IFERROR(__xludf.DUMMYFUNCTION("""COMPUTED_VALUE"""),5.0)</f>
        <v>5</v>
      </c>
      <c r="F10" s="5" t="str">
        <f>IFERROR(__xludf.DUMMYFUNCTION("""COMPUTED_VALUE"""),"-")</f>
        <v>-</v>
      </c>
      <c r="G10" s="5">
        <f>IFERROR(__xludf.DUMMYFUNCTION("""COMPUTED_VALUE"""),4.0)</f>
        <v>4</v>
      </c>
      <c r="H10" s="5" t="str">
        <f>IFERROR(__xludf.DUMMYFUNCTION("""COMPUTED_VALUE"""),"Måtte friske opp litt, lære seg noe nytt - men dette har gått bra og vi er fornøyde i dag.")</f>
        <v>Måtte friske opp litt, lære seg noe nytt - men dette har gått bra og vi er fornøyde i dag.</v>
      </c>
      <c r="I10" s="5">
        <f>IFERROR(__xludf.DUMMYFUNCTION("""COMPUTED_VALUE"""),4.0)</f>
        <v>4</v>
      </c>
      <c r="J10" s="5" t="str">
        <f>IFERROR(__xludf.DUMMYFUNCTION("""COMPUTED_VALUE"""),"Har ikke hatt mulighet til å gjøre dette foreløpig, men kommer nå inn i e større team og vil kunne vise seg frem. Burde hatt en mulighet til å svare ikke aktuelt ;)")</f>
        <v>Har ikke hatt mulighet til å gjøre dette foreløpig, men kommer nå inn i e større team og vil kunne vise seg frem. Burde hatt en mulighet til å svare ikke aktuelt ;)</v>
      </c>
      <c r="K10" s="5">
        <f>IFERROR(__xludf.DUMMYFUNCTION("""COMPUTED_VALUE"""),6.0)</f>
        <v>6</v>
      </c>
      <c r="L10" s="5" t="str">
        <f>IFERROR(__xludf.DUMMYFUNCTION("""COMPUTED_VALUE"""),"-")</f>
        <v>-</v>
      </c>
      <c r="M10" s="5">
        <f>IFERROR(__xludf.DUMMYFUNCTION("""COMPUTED_VALUE"""),5.0)</f>
        <v>5</v>
      </c>
      <c r="N10" s="5" t="str">
        <f>IFERROR(__xludf.DUMMYFUNCTION("""COMPUTED_VALUE"""),"Fornøyd med erstatning og prosessen rundt dette (var smidig).")</f>
        <v>Fornøyd med erstatning og prosessen rundt dette (var smidig).</v>
      </c>
      <c r="O10" s="5">
        <f>IFERROR(__xludf.DUMMYFUNCTION("""COMPUTED_VALUE"""),4.0)</f>
        <v>4</v>
      </c>
      <c r="P10" s="5" t="str">
        <f>IFERROR(__xludf.DUMMYFUNCTION("""COMPUTED_VALUE"""),"Vi leide inn en med litt annen kompetanse og konsulenten som nå bekler oppdraget har smalere kompetanse. Derfor er ikke forholdet mellom pris og leveranse like godt som det var opprinnelig.")</f>
        <v>Vi leide inn en med litt annen kompetanse og konsulenten som nå bekler oppdraget har smalere kompetanse. Derfor er ikke forholdet mellom pris og leveranse like godt som det var opprinnelig.</v>
      </c>
      <c r="Q10" s="5" t="str">
        <f>IFERROR(__xludf.DUMMYFUNCTION("""COMPUTED_VALUE"""),"-")</f>
        <v>-</v>
      </c>
    </row>
    <row r="11">
      <c r="A11" s="11">
        <f>IFERROR(__xludf.DUMMYFUNCTION("""COMPUTED_VALUE"""),45593.417245370365)</f>
        <v>45593.41725</v>
      </c>
      <c r="B11" s="5" t="str">
        <f>IFERROR(__xludf.DUMMYFUNCTION("""COMPUTED_VALUE"""),"Ruter/TET Digital")</f>
        <v>Ruter/TET Digital</v>
      </c>
      <c r="C11" s="5" t="str">
        <f>IFERROR(__xludf.DUMMYFUNCTION("""COMPUTED_VALUE"""),"Greger Hemb")</f>
        <v>Greger Hemb</v>
      </c>
      <c r="D11" s="5" t="str">
        <f>IFERROR(__xludf.DUMMYFUNCTION("""COMPUTED_VALUE"""),"#N/A")</f>
        <v>#N/A</v>
      </c>
      <c r="E11" s="5">
        <f>IFERROR(__xludf.DUMMYFUNCTION("""COMPUTED_VALUE"""),5.0)</f>
        <v>5</v>
      </c>
      <c r="F11" s="5" t="str">
        <f>IFERROR(__xludf.DUMMYFUNCTION("""COMPUTED_VALUE"""),"-")</f>
        <v>-</v>
      </c>
      <c r="G11" s="5">
        <f>IFERROR(__xludf.DUMMYFUNCTION("""COMPUTED_VALUE"""),6.0)</f>
        <v>6</v>
      </c>
      <c r="H11" s="5" t="str">
        <f>IFERROR(__xludf.DUMMYFUNCTION("""COMPUTED_VALUE"""),"-")</f>
        <v>-</v>
      </c>
      <c r="I11" s="5">
        <f>IFERROR(__xludf.DUMMYFUNCTION("""COMPUTED_VALUE"""),6.0)</f>
        <v>6</v>
      </c>
      <c r="J11" s="5" t="str">
        <f>IFERROR(__xludf.DUMMYFUNCTION("""COMPUTED_VALUE"""),"-")</f>
        <v>-</v>
      </c>
      <c r="K11" s="5">
        <f>IFERROR(__xludf.DUMMYFUNCTION("""COMPUTED_VALUE"""),5.0)</f>
        <v>5</v>
      </c>
      <c r="L11" s="5" t="str">
        <f>IFERROR(__xludf.DUMMYFUNCTION("""COMPUTED_VALUE"""),"-")</f>
        <v>-</v>
      </c>
      <c r="M11" s="5">
        <f>IFERROR(__xludf.DUMMYFUNCTION("""COMPUTED_VALUE"""),5.0)</f>
        <v>5</v>
      </c>
      <c r="N11" s="5" t="str">
        <f>IFERROR(__xludf.DUMMYFUNCTION("""COMPUTED_VALUE"""),"-")</f>
        <v>-</v>
      </c>
      <c r="O11" s="5">
        <f>IFERROR(__xludf.DUMMYFUNCTION("""COMPUTED_VALUE"""),6.0)</f>
        <v>6</v>
      </c>
      <c r="P11" s="5" t="str">
        <f>IFERROR(__xludf.DUMMYFUNCTION("""COMPUTED_VALUE"""),"-")</f>
        <v>-</v>
      </c>
      <c r="Q11" s="5" t="str">
        <f>IFERROR(__xludf.DUMMYFUNCTION("""COMPUTED_VALUE"""),"-")</f>
        <v>-</v>
      </c>
    </row>
    <row r="12">
      <c r="A12" s="11">
        <f>IFERROR(__xludf.DUMMYFUNCTION("""COMPUTED_VALUE"""),45594.68372685185)</f>
        <v>45594.68373</v>
      </c>
      <c r="B12" s="5" t="str">
        <f>IFERROR(__xludf.DUMMYFUNCTION("""COMPUTED_VALUE"""),"NAV")</f>
        <v>NAV</v>
      </c>
      <c r="C12" s="5" t="str">
        <f>IFERROR(__xludf.DUMMYFUNCTION("""COMPUTED_VALUE"""),"Joar Aurdal")</f>
        <v>Joar Aurdal</v>
      </c>
      <c r="D12" s="5" t="str">
        <f>IFERROR(__xludf.DUMMYFUNCTION("""COMPUTED_VALUE"""),"#N/A")</f>
        <v>#N/A</v>
      </c>
      <c r="E12" s="5">
        <f>IFERROR(__xludf.DUMMYFUNCTION("""COMPUTED_VALUE"""),6.0)</f>
        <v>6</v>
      </c>
      <c r="F12" s="5" t="str">
        <f>IFERROR(__xludf.DUMMYFUNCTION("""COMPUTED_VALUE"""),"Joar er svært dyktig senior utvikler. Blant annet er han alltid å regne med når ting er svært krevende. Det er mange positive egenskaper å trekke frem. Blant annet bidrar med psykologisk trygghet for teamet. Er god på å gi estimater på svært komplekse tin"&amp;"g som kan ta måneder å bygge, når tid for å angi estimat er kort og med stort press på å gi de estimatene. ")</f>
        <v>Joar er svært dyktig senior utvikler. Blant annet er han alltid å regne med når ting er svært krevende. Det er mange positive egenskaper å trekke frem. Blant annet bidrar med psykologisk trygghet for teamet. Er god på å gi estimater på svært komplekse ting som kan ta måneder å bygge, når tid for å angi estimat er kort og med stort press på å gi de estimatene. </v>
      </c>
      <c r="G12" s="5">
        <f>IFERROR(__xludf.DUMMYFUNCTION("""COMPUTED_VALUE"""),6.0)</f>
        <v>6</v>
      </c>
      <c r="H12" s="5" t="str">
        <f>IFERROR(__xludf.DUMMYFUNCTION("""COMPUTED_VALUE"""),"Jeg kan ikke si at det er noe konkret kompetanser som jeg savner. Joar tilegner seg kompetanse i det tverrfaglige teamet som vi er, så det går bra. ")</f>
        <v>Jeg kan ikke si at det er noe konkret kompetanser som jeg savner. Joar tilegner seg kompetanse i det tverrfaglige teamet som vi er, så det går bra. </v>
      </c>
      <c r="I12" s="5">
        <f>IFERROR(__xludf.DUMMYFUNCTION("""COMPUTED_VALUE"""),6.0)</f>
        <v>6</v>
      </c>
      <c r="J12" s="5" t="str">
        <f>IFERROR(__xludf.DUMMYFUNCTION("""COMPUTED_VALUE"""),"Kompetansedeling for Joar er bra! Inkluderende og tar ansvar og har gode evner til det. ")</f>
        <v>Kompetansedeling for Joar er bra! Inkluderende og tar ansvar og har gode evner til det. </v>
      </c>
      <c r="K12" s="5">
        <f>IFERROR(__xludf.DUMMYFUNCTION("""COMPUTED_VALUE"""),6.0)</f>
        <v>6</v>
      </c>
      <c r="L12" s="5" t="str">
        <f>IFERROR(__xludf.DUMMYFUNCTION("""COMPUTED_VALUE"""),"Har ingen ting å sette fingeren på. Det er veldig bra. ")</f>
        <v>Har ingen ting å sette fingeren på. Det er veldig bra. </v>
      </c>
      <c r="M12" s="5"/>
      <c r="N12" s="5" t="str">
        <f>IFERROR(__xludf.DUMMYFUNCTION("""COMPUTED_VALUE"""),"Jeg har ikke noe oppfølging derfra. Andre i organisasjonen har helt sikkert det, vil jeg tro. ")</f>
        <v>Jeg har ikke noe oppfølging derfra. Andre i organisasjonen har helt sikkert det, vil jeg tro. </v>
      </c>
      <c r="O12" s="5">
        <f>IFERROR(__xludf.DUMMYFUNCTION("""COMPUTED_VALUE"""),3.0)</f>
        <v>3</v>
      </c>
      <c r="P12" s="5" t="str">
        <f>IFERROR(__xludf.DUMMYFUNCTION("""COMPUTED_VALUE"""),"Jeg kjenner ikke til kostnaden. Jeg er produktleder og har ikke noe personalansvar sånn sett, blant annet så forholder jeg meg ikke til lønnskostnader. ")</f>
        <v>Jeg kjenner ikke til kostnaden. Jeg er produktleder og har ikke noe personalansvar sånn sett, blant annet så forholder jeg meg ikke til lønnskostnader. </v>
      </c>
      <c r="Q12" s="5" t="str">
        <f>IFERROR(__xludf.DUMMYFUNCTION("""COMPUTED_VALUE"""),"Nei. ")</f>
        <v>Nei. </v>
      </c>
    </row>
    <row r="13">
      <c r="A13" s="11">
        <f>IFERROR(__xludf.DUMMYFUNCTION("""COMPUTED_VALUE"""),45597.45511574074)</f>
        <v>45597.45512</v>
      </c>
      <c r="B13" s="5" t="str">
        <f>IFERROR(__xludf.DUMMYFUNCTION("""COMPUTED_VALUE"""),"NAV")</f>
        <v>NAV</v>
      </c>
      <c r="C13" s="5" t="str">
        <f>IFERROR(__xludf.DUMMYFUNCTION("""COMPUTED_VALUE"""),"Håvard Andersen")</f>
        <v>Håvard Andersen</v>
      </c>
      <c r="D13" s="5" t="str">
        <f>IFERROR(__xludf.DUMMYFUNCTION("""COMPUTED_VALUE"""),"#N/A")</f>
        <v>#N/A</v>
      </c>
      <c r="E13" s="5">
        <f>IFERROR(__xludf.DUMMYFUNCTION("""COMPUTED_VALUE"""),6.0)</f>
        <v>6</v>
      </c>
      <c r="F13" s="5" t="str">
        <f>IFERROR(__xludf.DUMMYFUNCTION("""COMPUTED_VALUE"""),"-")</f>
        <v>-</v>
      </c>
      <c r="G13" s="5">
        <f>IFERROR(__xludf.DUMMYFUNCTION("""COMPUTED_VALUE"""),6.0)</f>
        <v>6</v>
      </c>
      <c r="H13" s="5" t="str">
        <f>IFERROR(__xludf.DUMMYFUNCTION("""COMPUTED_VALUE"""),"-")</f>
        <v>-</v>
      </c>
      <c r="I13" s="5">
        <f>IFERROR(__xludf.DUMMYFUNCTION("""COMPUTED_VALUE"""),6.0)</f>
        <v>6</v>
      </c>
      <c r="J13" s="5" t="str">
        <f>IFERROR(__xludf.DUMMYFUNCTION("""COMPUTED_VALUE"""),"-")</f>
        <v>-</v>
      </c>
      <c r="K13" s="5">
        <f>IFERROR(__xludf.DUMMYFUNCTION("""COMPUTED_VALUE"""),6.0)</f>
        <v>6</v>
      </c>
      <c r="L13" s="5" t="str">
        <f>IFERROR(__xludf.DUMMYFUNCTION("""COMPUTED_VALUE"""),"-")</f>
        <v>-</v>
      </c>
      <c r="M13" s="5">
        <f>IFERROR(__xludf.DUMMYFUNCTION("""COMPUTED_VALUE"""),3.0)</f>
        <v>3</v>
      </c>
      <c r="N13" s="5" t="str">
        <f>IFERROR(__xludf.DUMMYFUNCTION("""COMPUTED_VALUE"""),"Er veldig fornøyd med konsulenten, men hører lite fra JP bortsett fra når det bes om en evaluering av konsulenten. ")</f>
        <v>Er veldig fornøyd med konsulenten, men hører lite fra JP bortsett fra når det bes om en evaluering av konsulenten. </v>
      </c>
      <c r="O13" s="5">
        <f>IFERROR(__xludf.DUMMYFUNCTION("""COMPUTED_VALUE"""),6.0)</f>
        <v>6</v>
      </c>
      <c r="P13" s="5" t="str">
        <f>IFERROR(__xludf.DUMMYFUNCTION("""COMPUTED_VALUE"""),"-")</f>
        <v>-</v>
      </c>
      <c r="Q13" s="5" t="str">
        <f>IFERROR(__xludf.DUMMYFUNCTION("""COMPUTED_VALUE"""),"-")</f>
        <v>-</v>
      </c>
    </row>
    <row r="14">
      <c r="A14" s="11">
        <f>IFERROR(__xludf.DUMMYFUNCTION("""COMPUTED_VALUE"""),45600.39883101852)</f>
        <v>45600.39883</v>
      </c>
      <c r="B14" s="5" t="str">
        <f>IFERROR(__xludf.DUMMYFUNCTION("""COMPUTED_VALUE"""),"Schibsted")</f>
        <v>Schibsted</v>
      </c>
      <c r="C14" s="5" t="str">
        <f>IFERROR(__xludf.DUMMYFUNCTION("""COMPUTED_VALUE"""),"Runar Bell")</f>
        <v>Runar Bell</v>
      </c>
      <c r="D14" s="5" t="str">
        <f>IFERROR(__xludf.DUMMYFUNCTION("""COMPUTED_VALUE"""),"#N/A")</f>
        <v>#N/A</v>
      </c>
      <c r="E14" s="5">
        <f>IFERROR(__xludf.DUMMYFUNCTION("""COMPUTED_VALUE"""),6.0)</f>
        <v>6</v>
      </c>
      <c r="F14" s="5" t="str">
        <f>IFERROR(__xludf.DUMMYFUNCTION("""COMPUTED_VALUE"""),"Runar har jobbet for oss lenge og har lang erfaring med våre systemer. Leverer alltid arbeid av høy kvalitet.")</f>
        <v>Runar har jobbet for oss lenge og har lang erfaring med våre systemer. Leverer alltid arbeid av høy kvalitet.</v>
      </c>
      <c r="G14" s="5">
        <f>IFERROR(__xludf.DUMMYFUNCTION("""COMPUTED_VALUE"""),6.0)</f>
        <v>6</v>
      </c>
      <c r="H14" s="5" t="str">
        <f>IFERROR(__xludf.DUMMYFUNCTION("""COMPUTED_VALUE"""),"-")</f>
        <v>-</v>
      </c>
      <c r="I14" s="5">
        <f>IFERROR(__xludf.DUMMYFUNCTION("""COMPUTED_VALUE"""),6.0)</f>
        <v>6</v>
      </c>
      <c r="J14" s="5" t="str">
        <f>IFERROR(__xludf.DUMMYFUNCTION("""COMPUTED_VALUE"""),"-")</f>
        <v>-</v>
      </c>
      <c r="K14" s="5">
        <f>IFERROR(__xludf.DUMMYFUNCTION("""COMPUTED_VALUE"""),6.0)</f>
        <v>6</v>
      </c>
      <c r="L14" s="5" t="str">
        <f>IFERROR(__xludf.DUMMYFUNCTION("""COMPUTED_VALUE"""),"-")</f>
        <v>-</v>
      </c>
      <c r="M14" s="5">
        <f>IFERROR(__xludf.DUMMYFUNCTION("""COMPUTED_VALUE"""),6.0)</f>
        <v>6</v>
      </c>
      <c r="N14" s="5" t="str">
        <f>IFERROR(__xludf.DUMMYFUNCTION("""COMPUTED_VALUE"""),"-")</f>
        <v>-</v>
      </c>
      <c r="O14" s="5">
        <f>IFERROR(__xludf.DUMMYFUNCTION("""COMPUTED_VALUE"""),5.0)</f>
        <v>5</v>
      </c>
      <c r="P14" s="5" t="str">
        <f>IFERROR(__xludf.DUMMYFUNCTION("""COMPUTED_VALUE"""),"-")</f>
        <v>-</v>
      </c>
      <c r="Q14" s="5" t="str">
        <f>IFERROR(__xludf.DUMMYFUNCTION("""COMPUTED_VALUE"""),"Ikke for øyeblikket")</f>
        <v>Ikke for øyeblikket</v>
      </c>
    </row>
    <row r="15">
      <c r="A15" s="11">
        <f>IFERROR(__xludf.DUMMYFUNCTION("""COMPUTED_VALUE"""),45600.404340277775)</f>
        <v>45600.40434</v>
      </c>
      <c r="B15" s="5" t="str">
        <f>IFERROR(__xludf.DUMMYFUNCTION("""COMPUTED_VALUE"""),"Schibsted")</f>
        <v>Schibsted</v>
      </c>
      <c r="C15" s="5" t="str">
        <f>IFERROR(__xludf.DUMMYFUNCTION("""COMPUTED_VALUE"""),"Lars-Olof Moilanen")</f>
        <v>Lars-Olof Moilanen</v>
      </c>
      <c r="D15" s="5" t="str">
        <f>IFERROR(__xludf.DUMMYFUNCTION("""COMPUTED_VALUE"""),"#N/A")</f>
        <v>#N/A</v>
      </c>
      <c r="E15" s="5">
        <f>IFERROR(__xludf.DUMMYFUNCTION("""COMPUTED_VALUE"""),6.0)</f>
        <v>6</v>
      </c>
      <c r="F15" s="5" t="str">
        <f>IFERROR(__xludf.DUMMYFUNCTION("""COMPUTED_VALUE"""),"Lars-Olof leverer arbeid av høy kvalitet, og er tar alle utfordringer på strak arm. En god ressurs og ha på teamet.")</f>
        <v>Lars-Olof leverer arbeid av høy kvalitet, og er tar alle utfordringer på strak arm. En god ressurs og ha på teamet.</v>
      </c>
      <c r="G15" s="5">
        <f>IFERROR(__xludf.DUMMYFUNCTION("""COMPUTED_VALUE"""),6.0)</f>
        <v>6</v>
      </c>
      <c r="H15" s="5" t="str">
        <f>IFERROR(__xludf.DUMMYFUNCTION("""COMPUTED_VALUE"""),"-")</f>
        <v>-</v>
      </c>
      <c r="I15" s="5">
        <f>IFERROR(__xludf.DUMMYFUNCTION("""COMPUTED_VALUE"""),5.0)</f>
        <v>5</v>
      </c>
      <c r="J15" s="5" t="str">
        <f>IFERROR(__xludf.DUMMYFUNCTION("""COMPUTED_VALUE"""),"-")</f>
        <v>-</v>
      </c>
      <c r="K15" s="5">
        <f>IFERROR(__xludf.DUMMYFUNCTION("""COMPUTED_VALUE"""),6.0)</f>
        <v>6</v>
      </c>
      <c r="L15" s="5" t="str">
        <f>IFERROR(__xludf.DUMMYFUNCTION("""COMPUTED_VALUE"""),"-")</f>
        <v>-</v>
      </c>
      <c r="M15" s="5">
        <f>IFERROR(__xludf.DUMMYFUNCTION("""COMPUTED_VALUE"""),6.0)</f>
        <v>6</v>
      </c>
      <c r="N15" s="5" t="str">
        <f>IFERROR(__xludf.DUMMYFUNCTION("""COMPUTED_VALUE"""),"-")</f>
        <v>-</v>
      </c>
      <c r="O15" s="5">
        <f>IFERROR(__xludf.DUMMYFUNCTION("""COMPUTED_VALUE"""),5.0)</f>
        <v>5</v>
      </c>
      <c r="P15" s="5" t="str">
        <f>IFERROR(__xludf.DUMMYFUNCTION("""COMPUTED_VALUE"""),"-")</f>
        <v>-</v>
      </c>
      <c r="Q15" s="5" t="str">
        <f>IFERROR(__xludf.DUMMYFUNCTION("""COMPUTED_VALUE"""),"Ikke for øyeblikket")</f>
        <v>Ikke for øyeblikket</v>
      </c>
    </row>
    <row r="16">
      <c r="A16" s="11">
        <f>IFERROR(__xludf.DUMMYFUNCTION("""COMPUTED_VALUE"""),45600.40763888889)</f>
        <v>45600.40764</v>
      </c>
      <c r="B16" s="5" t="str">
        <f>IFERROR(__xludf.DUMMYFUNCTION("""COMPUTED_VALUE"""),"Schibsted")</f>
        <v>Schibsted</v>
      </c>
      <c r="C16" s="5" t="str">
        <f>IFERROR(__xludf.DUMMYFUNCTION("""COMPUTED_VALUE"""),"Geoffrey Rekier")</f>
        <v>Geoffrey Rekier</v>
      </c>
      <c r="D16" s="5" t="str">
        <f>IFERROR(__xludf.DUMMYFUNCTION("""COMPUTED_VALUE"""),"#N/A")</f>
        <v>#N/A</v>
      </c>
      <c r="E16" s="5">
        <f>IFERROR(__xludf.DUMMYFUNCTION("""COMPUTED_VALUE"""),6.0)</f>
        <v>6</v>
      </c>
      <c r="F16" s="5" t="str">
        <f>IFERROR(__xludf.DUMMYFUNCTION("""COMPUTED_VALUE"""),"Geoffrey er en veldig dyktig utvikler som jobber med flere av våre mest kritiske systemer ")</f>
        <v>Geoffrey er en veldig dyktig utvikler som jobber med flere av våre mest kritiske systemer </v>
      </c>
      <c r="G16" s="5">
        <f>IFERROR(__xludf.DUMMYFUNCTION("""COMPUTED_VALUE"""),6.0)</f>
        <v>6</v>
      </c>
      <c r="H16" s="5" t="str">
        <f>IFERROR(__xludf.DUMMYFUNCTION("""COMPUTED_VALUE"""),"-")</f>
        <v>-</v>
      </c>
      <c r="I16" s="5">
        <f>IFERROR(__xludf.DUMMYFUNCTION("""COMPUTED_VALUE"""),5.0)</f>
        <v>5</v>
      </c>
      <c r="J16" s="5" t="str">
        <f>IFERROR(__xludf.DUMMYFUNCTION("""COMPUTED_VALUE"""),"-")</f>
        <v>-</v>
      </c>
      <c r="K16" s="5">
        <f>IFERROR(__xludf.DUMMYFUNCTION("""COMPUTED_VALUE"""),5.0)</f>
        <v>5</v>
      </c>
      <c r="L16" s="5" t="str">
        <f>IFERROR(__xludf.DUMMYFUNCTION("""COMPUTED_VALUE"""),"-")</f>
        <v>-</v>
      </c>
      <c r="M16" s="5">
        <f>IFERROR(__xludf.DUMMYFUNCTION("""COMPUTED_VALUE"""),6.0)</f>
        <v>6</v>
      </c>
      <c r="N16" s="5" t="str">
        <f>IFERROR(__xludf.DUMMYFUNCTION("""COMPUTED_VALUE"""),"-")</f>
        <v>-</v>
      </c>
      <c r="O16" s="5">
        <f>IFERROR(__xludf.DUMMYFUNCTION("""COMPUTED_VALUE"""),5.0)</f>
        <v>5</v>
      </c>
      <c r="P16" s="5" t="str">
        <f>IFERROR(__xludf.DUMMYFUNCTION("""COMPUTED_VALUE"""),"-")</f>
        <v>-</v>
      </c>
      <c r="Q16" s="5" t="str">
        <f>IFERROR(__xludf.DUMMYFUNCTION("""COMPUTED_VALUE"""),"Ikke for øyeblikket")</f>
        <v>Ikke for øyeblikket</v>
      </c>
    </row>
    <row r="17">
      <c r="A17" s="11">
        <f>IFERROR(__xludf.DUMMYFUNCTION("""COMPUTED_VALUE"""),45600.467303240745)</f>
        <v>45600.4673</v>
      </c>
      <c r="B17" s="5" t="str">
        <f>IFERROR(__xludf.DUMMYFUNCTION("""COMPUTED_VALUE"""),"NAV")</f>
        <v>NAV</v>
      </c>
      <c r="C17" s="5" t="str">
        <f>IFERROR(__xludf.DUMMYFUNCTION("""COMPUTED_VALUE"""),"Anton Fofanov")</f>
        <v>Anton Fofanov</v>
      </c>
      <c r="D17" s="5" t="str">
        <f>IFERROR(__xludf.DUMMYFUNCTION("""COMPUTED_VALUE"""),"#N/A")</f>
        <v>#N/A</v>
      </c>
      <c r="E17" s="5">
        <f>IFERROR(__xludf.DUMMYFUNCTION("""COMPUTED_VALUE"""),6.0)</f>
        <v>6</v>
      </c>
      <c r="F17" s="5" t="str">
        <f>IFERROR(__xludf.DUMMYFUNCTION("""COMPUTED_VALUE"""),"-")</f>
        <v>-</v>
      </c>
      <c r="G17" s="5">
        <f>IFERROR(__xludf.DUMMYFUNCTION("""COMPUTED_VALUE"""),6.0)</f>
        <v>6</v>
      </c>
      <c r="H17" s="5" t="str">
        <f>IFERROR(__xludf.DUMMYFUNCTION("""COMPUTED_VALUE"""),"-")</f>
        <v>-</v>
      </c>
      <c r="I17" s="5">
        <f>IFERROR(__xludf.DUMMYFUNCTION("""COMPUTED_VALUE"""),4.0)</f>
        <v>4</v>
      </c>
      <c r="J17" s="5" t="str">
        <f>IFERROR(__xludf.DUMMYFUNCTION("""COMPUTED_VALUE"""),"-")</f>
        <v>-</v>
      </c>
      <c r="K17" s="5">
        <f>IFERROR(__xludf.DUMMYFUNCTION("""COMPUTED_VALUE"""),5.0)</f>
        <v>5</v>
      </c>
      <c r="L17" s="5" t="str">
        <f>IFERROR(__xludf.DUMMYFUNCTION("""COMPUTED_VALUE"""),"-")</f>
        <v>-</v>
      </c>
      <c r="M17" s="5"/>
      <c r="N17" s="5" t="str">
        <f>IFERROR(__xludf.DUMMYFUNCTION("""COMPUTED_VALUE"""),"-")</f>
        <v>-</v>
      </c>
      <c r="O17" s="5">
        <f>IFERROR(__xludf.DUMMYFUNCTION("""COMPUTED_VALUE"""),3.0)</f>
        <v>3</v>
      </c>
      <c r="P17" s="5" t="str">
        <f>IFERROR(__xludf.DUMMYFUNCTION("""COMPUTED_VALUE"""),"Jeg har ikke innsyn i pris/avtaler.")</f>
        <v>Jeg har ikke innsyn i pris/avtaler.</v>
      </c>
      <c r="Q17" s="5" t="str">
        <f>IFERROR(__xludf.DUMMYFUNCTION("""COMPUTED_VALUE"""),"-")</f>
        <v>-</v>
      </c>
    </row>
    <row r="18">
      <c r="A18" s="11">
        <f>IFERROR(__xludf.DUMMYFUNCTION("""COMPUTED_VALUE"""),45600.55229166667)</f>
        <v>45600.55229</v>
      </c>
      <c r="B18" s="5" t="str">
        <f>IFERROR(__xludf.DUMMYFUNCTION("""COMPUTED_VALUE"""),"Skatteetaten")</f>
        <v>Skatteetaten</v>
      </c>
      <c r="C18" s="5" t="str">
        <f>IFERROR(__xludf.DUMMYFUNCTION("""COMPUTED_VALUE"""),"Anders Karlsen")</f>
        <v>Anders Karlsen</v>
      </c>
      <c r="D18" s="5" t="str">
        <f>IFERROR(__xludf.DUMMYFUNCTION("""COMPUTED_VALUE"""),"#N/A")</f>
        <v>#N/A</v>
      </c>
      <c r="E18" s="5">
        <f>IFERROR(__xludf.DUMMYFUNCTION("""COMPUTED_VALUE"""),6.0)</f>
        <v>6</v>
      </c>
      <c r="F18" s="5" t="str">
        <f>IFERROR(__xludf.DUMMYFUNCTION("""COMPUTED_VALUE"""),"-")</f>
        <v>-</v>
      </c>
      <c r="G18" s="5">
        <f>IFERROR(__xludf.DUMMYFUNCTION("""COMPUTED_VALUE"""),6.0)</f>
        <v>6</v>
      </c>
      <c r="H18" s="5" t="str">
        <f>IFERROR(__xludf.DUMMYFUNCTION("""COMPUTED_VALUE"""),"-")</f>
        <v>-</v>
      </c>
      <c r="I18" s="5">
        <f>IFERROR(__xludf.DUMMYFUNCTION("""COMPUTED_VALUE"""),5.0)</f>
        <v>5</v>
      </c>
      <c r="J18" s="5" t="str">
        <f>IFERROR(__xludf.DUMMYFUNCTION("""COMPUTED_VALUE"""),"Akkurat startet hos oss, så litt tidlig å uttale seg og i hvert fall gi full score")</f>
        <v>Akkurat startet hos oss, så litt tidlig å uttale seg og i hvert fall gi full score</v>
      </c>
      <c r="K18" s="5">
        <f>IFERROR(__xludf.DUMMYFUNCTION("""COMPUTED_VALUE"""),6.0)</f>
        <v>6</v>
      </c>
      <c r="L18" s="5" t="str">
        <f>IFERROR(__xludf.DUMMYFUNCTION("""COMPUTED_VALUE"""),"-")</f>
        <v>-</v>
      </c>
      <c r="M18" s="5"/>
      <c r="N18" s="5" t="str">
        <f>IFERROR(__xludf.DUMMYFUNCTION("""COMPUTED_VALUE"""),"Står over denne. Siden jeg som teamleder ikke har så mye kontakt med dere")</f>
        <v>Står over denne. Siden jeg som teamleder ikke har så mye kontakt med dere</v>
      </c>
      <c r="O18" s="5">
        <f>IFERROR(__xludf.DUMMYFUNCTION("""COMPUTED_VALUE"""),6.0)</f>
        <v>6</v>
      </c>
      <c r="P18" s="5" t="str">
        <f>IFERROR(__xludf.DUMMYFUNCTION("""COMPUTED_VALUE"""),"-")</f>
        <v>-</v>
      </c>
      <c r="Q18" s="5" t="str">
        <f>IFERROR(__xludf.DUMMYFUNCTION("""COMPUTED_VALUE"""),"Nei")</f>
        <v>Nei</v>
      </c>
    </row>
    <row r="19">
      <c r="A19" s="11">
        <f>IFERROR(__xludf.DUMMYFUNCTION("""COMPUTED_VALUE"""),45600.551527777774)</f>
        <v>45600.55153</v>
      </c>
      <c r="B19" s="5" t="str">
        <f>IFERROR(__xludf.DUMMYFUNCTION("""COMPUTED_VALUE"""),"Skatteetaten")</f>
        <v>Skatteetaten</v>
      </c>
      <c r="C19" s="5" t="str">
        <f>IFERROR(__xludf.DUMMYFUNCTION("""COMPUTED_VALUE"""),"Robert Andersson")</f>
        <v>Robert Andersson</v>
      </c>
      <c r="D19" s="5" t="str">
        <f>IFERROR(__xludf.DUMMYFUNCTION("""COMPUTED_VALUE"""),"#N/A")</f>
        <v>#N/A</v>
      </c>
      <c r="E19" s="5">
        <f>IFERROR(__xludf.DUMMYFUNCTION("""COMPUTED_VALUE"""),6.0)</f>
        <v>6</v>
      </c>
      <c r="F19" s="5" t="str">
        <f>IFERROR(__xludf.DUMMYFUNCTION("""COMPUTED_VALUE"""),"-")</f>
        <v>-</v>
      </c>
      <c r="G19" s="5">
        <f>IFERROR(__xludf.DUMMYFUNCTION("""COMPUTED_VALUE"""),6.0)</f>
        <v>6</v>
      </c>
      <c r="H19" s="5" t="str">
        <f>IFERROR(__xludf.DUMMYFUNCTION("""COMPUTED_VALUE"""),"-")</f>
        <v>-</v>
      </c>
      <c r="I19" s="5">
        <f>IFERROR(__xludf.DUMMYFUNCTION("""COMPUTED_VALUE"""),6.0)</f>
        <v>6</v>
      </c>
      <c r="J19" s="5" t="str">
        <f>IFERROR(__xludf.DUMMYFUNCTION("""COMPUTED_VALUE"""),"-")</f>
        <v>-</v>
      </c>
      <c r="K19" s="5">
        <f>IFERROR(__xludf.DUMMYFUNCTION("""COMPUTED_VALUE"""),6.0)</f>
        <v>6</v>
      </c>
      <c r="L19" s="5" t="str">
        <f>IFERROR(__xludf.DUMMYFUNCTION("""COMPUTED_VALUE"""),"-")</f>
        <v>-</v>
      </c>
      <c r="M19" s="5"/>
      <c r="N19" s="5" t="str">
        <f>IFERROR(__xludf.DUMMYFUNCTION("""COMPUTED_VALUE"""),"Som teamleder har jeg ikke så mye kontakt med konsulentselskapet. Velger derfor å ikke svare")</f>
        <v>Som teamleder har jeg ikke så mye kontakt med konsulentselskapet. Velger derfor å ikke svare</v>
      </c>
      <c r="O19" s="5">
        <f>IFERROR(__xludf.DUMMYFUNCTION("""COMPUTED_VALUE"""),6.0)</f>
        <v>6</v>
      </c>
      <c r="P19" s="5" t="str">
        <f>IFERROR(__xludf.DUMMYFUNCTION("""COMPUTED_VALUE"""),"-")</f>
        <v>-</v>
      </c>
      <c r="Q19" s="5" t="str">
        <f>IFERROR(__xludf.DUMMYFUNCTION("""COMPUTED_VALUE"""),"nei")</f>
        <v>nei</v>
      </c>
    </row>
    <row r="20">
      <c r="A20" s="11">
        <f>IFERROR(__xludf.DUMMYFUNCTION("""COMPUTED_VALUE"""),45600.68490740741)</f>
        <v>45600.68491</v>
      </c>
      <c r="B20" s="5" t="str">
        <f>IFERROR(__xludf.DUMMYFUNCTION("""COMPUTED_VALUE"""),"Skatteetaten")</f>
        <v>Skatteetaten</v>
      </c>
      <c r="C20" s="5" t="str">
        <f>IFERROR(__xludf.DUMMYFUNCTION("""COMPUTED_VALUE"""),"Ole Jørgen Aurebekk")</f>
        <v>Ole Jørgen Aurebekk</v>
      </c>
      <c r="D20" s="5" t="str">
        <f>IFERROR(__xludf.DUMMYFUNCTION("""COMPUTED_VALUE"""),"#N/A")</f>
        <v>#N/A</v>
      </c>
      <c r="E20" s="5">
        <f>IFERROR(__xludf.DUMMYFUNCTION("""COMPUTED_VALUE"""),6.0)</f>
        <v>6</v>
      </c>
      <c r="F20" s="5" t="str">
        <f>IFERROR(__xludf.DUMMYFUNCTION("""COMPUTED_VALUE"""),"Ole Jørgen har vært hos oss i mange år og gjør en utmerket jobb. ")</f>
        <v>Ole Jørgen har vært hos oss i mange år og gjør en utmerket jobb. </v>
      </c>
      <c r="G20" s="5">
        <f>IFERROR(__xludf.DUMMYFUNCTION("""COMPUTED_VALUE"""),6.0)</f>
        <v>6</v>
      </c>
      <c r="H20" s="5" t="str">
        <f>IFERROR(__xludf.DUMMYFUNCTION("""COMPUTED_VALUE"""),"-")</f>
        <v>-</v>
      </c>
      <c r="I20" s="5">
        <f>IFERROR(__xludf.DUMMYFUNCTION("""COMPUTED_VALUE"""),6.0)</f>
        <v>6</v>
      </c>
      <c r="J20" s="5" t="str">
        <f>IFERROR(__xludf.DUMMYFUNCTION("""COMPUTED_VALUE"""),"Konsumenten ledet et kompetansetiltak knyttet til AI for oss og deler ellers av sin kunnskap. ")</f>
        <v>Konsumenten ledet et kompetansetiltak knyttet til AI for oss og deler ellers av sin kunnskap. </v>
      </c>
      <c r="K20" s="5">
        <f>IFERROR(__xludf.DUMMYFUNCTION("""COMPUTED_VALUE"""),6.0)</f>
        <v>6</v>
      </c>
      <c r="L20" s="5" t="str">
        <f>IFERROR(__xludf.DUMMYFUNCTION("""COMPUTED_VALUE"""),"Konsulenten fingere godt i teamet der han er. ")</f>
        <v>Konsulenten fingere godt i teamet der han er. </v>
      </c>
      <c r="M20" s="5"/>
      <c r="N20" s="5" t="str">
        <f>IFERROR(__xludf.DUMMYFUNCTION("""COMPUTED_VALUE"""),"-")</f>
        <v>-</v>
      </c>
      <c r="O20" s="5">
        <f>IFERROR(__xludf.DUMMYFUNCTION("""COMPUTED_VALUE"""),6.0)</f>
        <v>6</v>
      </c>
      <c r="P20" s="5" t="str">
        <f>IFERROR(__xludf.DUMMYFUNCTION("""COMPUTED_VALUE"""),"Konsulentene våre gir et helt nødvendig bidrag.")</f>
        <v>Konsulentene våre gir et helt nødvendig bidrag.</v>
      </c>
      <c r="Q20" s="5" t="str">
        <f>IFERROR(__xludf.DUMMYFUNCTION("""COMPUTED_VALUE"""),"Ikke akkurat nå. ")</f>
        <v>Ikke akkurat nå. </v>
      </c>
    </row>
    <row r="21">
      <c r="A21" s="11">
        <f>IFERROR(__xludf.DUMMYFUNCTION("""COMPUTED_VALUE"""),45601.31671296296)</f>
        <v>45601.31671</v>
      </c>
      <c r="B21" s="5" t="str">
        <f>IFERROR(__xludf.DUMMYFUNCTION("""COMPUTED_VALUE"""),"Skatteetaten")</f>
        <v>Skatteetaten</v>
      </c>
      <c r="C21" s="5" t="str">
        <f>IFERROR(__xludf.DUMMYFUNCTION("""COMPUTED_VALUE"""),"Ivar Gjessing")</f>
        <v>Ivar Gjessing</v>
      </c>
      <c r="D21" s="5" t="str">
        <f>IFERROR(__xludf.DUMMYFUNCTION("""COMPUTED_VALUE"""),"#N/A")</f>
        <v>#N/A</v>
      </c>
      <c r="E21" s="5">
        <f>IFERROR(__xludf.DUMMYFUNCTION("""COMPUTED_VALUE"""),5.0)</f>
        <v>5</v>
      </c>
      <c r="F21" s="5" t="str">
        <f>IFERROR(__xludf.DUMMYFUNCTION("""COMPUTED_VALUE"""),"Ivar har ikke vært her så lenge enda så litt tidlig å gi en skikkelig tilbakemelding")</f>
        <v>Ivar har ikke vært her så lenge enda så litt tidlig å gi en skikkelig tilbakemelding</v>
      </c>
      <c r="G21" s="5">
        <f>IFERROR(__xludf.DUMMYFUNCTION("""COMPUTED_VALUE"""),6.0)</f>
        <v>6</v>
      </c>
      <c r="H21" s="5" t="str">
        <f>IFERROR(__xludf.DUMMYFUNCTION("""COMPUTED_VALUE"""),"-")</f>
        <v>-</v>
      </c>
      <c r="I21" s="5">
        <f>IFERROR(__xludf.DUMMYFUNCTION("""COMPUTED_VALUE"""),6.0)</f>
        <v>6</v>
      </c>
      <c r="J21" s="5" t="str">
        <f>IFERROR(__xludf.DUMMYFUNCTION("""COMPUTED_VALUE"""),"Han virker å løse oppgavene han får på en god måte")</f>
        <v>Han virker å løse oppgavene han får på en god måte</v>
      </c>
      <c r="K21" s="5">
        <f>IFERROR(__xludf.DUMMYFUNCTION("""COMPUTED_VALUE"""),6.0)</f>
        <v>6</v>
      </c>
      <c r="L21" s="5" t="str">
        <f>IFERROR(__xludf.DUMMYFUNCTION("""COMPUTED_VALUE"""),"Ivar er flink til å involvere de rundt seg ved behov og samarbeider godt med teamet")</f>
        <v>Ivar er flink til å involvere de rundt seg ved behov og samarbeider godt med teamet</v>
      </c>
      <c r="M21" s="5"/>
      <c r="N21" s="5" t="str">
        <f>IFERROR(__xludf.DUMMYFUNCTION("""COMPUTED_VALUE"""),"-")</f>
        <v>-</v>
      </c>
      <c r="O21" s="5">
        <f>IFERROR(__xludf.DUMMYFUNCTION("""COMPUTED_VALUE"""),6.0)</f>
        <v>6</v>
      </c>
      <c r="P21" s="5" t="str">
        <f>IFERROR(__xludf.DUMMYFUNCTION("""COMPUTED_VALUE"""),"-")</f>
        <v>-</v>
      </c>
      <c r="Q21" s="5" t="str">
        <f>IFERROR(__xludf.DUMMYFUNCTION("""COMPUTED_VALUE"""),"Ikke p.t.")</f>
        <v>Ikke p.t.</v>
      </c>
    </row>
    <row r="22">
      <c r="A22" s="11">
        <f>IFERROR(__xludf.DUMMYFUNCTION("""COMPUTED_VALUE"""),45601.33206018519)</f>
        <v>45601.33206</v>
      </c>
      <c r="B22" s="5" t="str">
        <f>IFERROR(__xludf.DUMMYFUNCTION("""COMPUTED_VALUE"""),"Skatteetaten")</f>
        <v>Skatteetaten</v>
      </c>
      <c r="C22" s="5" t="str">
        <f>IFERROR(__xludf.DUMMYFUNCTION("""COMPUTED_VALUE"""),"Magnus Skuland")</f>
        <v>Magnus Skuland</v>
      </c>
      <c r="D22" s="5" t="str">
        <f>IFERROR(__xludf.DUMMYFUNCTION("""COMPUTED_VALUE"""),"#N/A")</f>
        <v>#N/A</v>
      </c>
      <c r="E22" s="5">
        <f>IFERROR(__xludf.DUMMYFUNCTION("""COMPUTED_VALUE"""),6.0)</f>
        <v>6</v>
      </c>
      <c r="F22" s="5" t="str">
        <f>IFERROR(__xludf.DUMMYFUNCTION("""COMPUTED_VALUE"""),"Magnus jobber effektivt og setter seg raskt inn i mer komplekse problemer. Han tar eierskap til det han jobber med og svarer også ut de som tar kontakt utenfor teamet.")</f>
        <v>Magnus jobber effektivt og setter seg raskt inn i mer komplekse problemer. Han tar eierskap til det han jobber med og svarer også ut de som tar kontakt utenfor teamet.</v>
      </c>
      <c r="G22" s="5">
        <f>IFERROR(__xludf.DUMMYFUNCTION("""COMPUTED_VALUE"""),6.0)</f>
        <v>6</v>
      </c>
      <c r="H22" s="5" t="str">
        <f>IFERROR(__xludf.DUMMYFUNCTION("""COMPUTED_VALUE"""),"-")</f>
        <v>-</v>
      </c>
      <c r="I22" s="5">
        <f>IFERROR(__xludf.DUMMYFUNCTION("""COMPUTED_VALUE"""),6.0)</f>
        <v>6</v>
      </c>
      <c r="J22" s="5" t="str">
        <f>IFERROR(__xludf.DUMMYFUNCTION("""COMPUTED_VALUE"""),"Magnus er alltid åpen for å bistå når kollegaer trenger hjelp eller noen å sparre med, han deler også av egen erfaring i andre settinger.")</f>
        <v>Magnus er alltid åpen for å bistå når kollegaer trenger hjelp eller noen å sparre med, han deler også av egen erfaring i andre settinger.</v>
      </c>
      <c r="K22" s="5">
        <f>IFERROR(__xludf.DUMMYFUNCTION("""COMPUTED_VALUE"""),6.0)</f>
        <v>6</v>
      </c>
      <c r="L22" s="5" t="str">
        <f>IFERROR(__xludf.DUMMYFUNCTION("""COMPUTED_VALUE"""),"Magnus samarbeider godt med de andre i teamet og folk utenfor.")</f>
        <v>Magnus samarbeider godt med de andre i teamet og folk utenfor.</v>
      </c>
      <c r="M22" s="5"/>
      <c r="N22" s="5" t="str">
        <f>IFERROR(__xludf.DUMMYFUNCTION("""COMPUTED_VALUE"""),"-")</f>
        <v>-</v>
      </c>
      <c r="O22" s="5">
        <f>IFERROR(__xludf.DUMMYFUNCTION("""COMPUTED_VALUE"""),6.0)</f>
        <v>6</v>
      </c>
      <c r="P22" s="5" t="str">
        <f>IFERROR(__xludf.DUMMYFUNCTION("""COMPUTED_VALUE"""),"-")</f>
        <v>-</v>
      </c>
      <c r="Q22" s="5" t="str">
        <f>IFERROR(__xludf.DUMMYFUNCTION("""COMPUTED_VALUE"""),"Ikke p.t.")</f>
        <v>Ikke p.t.</v>
      </c>
    </row>
    <row r="23">
      <c r="A23" s="11">
        <f>IFERROR(__xludf.DUMMYFUNCTION("""COMPUTED_VALUE"""),45601.334745370375)</f>
        <v>45601.33475</v>
      </c>
      <c r="B23" s="5" t="str">
        <f>IFERROR(__xludf.DUMMYFUNCTION("""COMPUTED_VALUE"""),"Skatteetaten")</f>
        <v>Skatteetaten</v>
      </c>
      <c r="C23" s="5" t="str">
        <f>IFERROR(__xludf.DUMMYFUNCTION("""COMPUTED_VALUE"""),"Sverre Kristian Valskrå")</f>
        <v>Sverre Kristian Valskrå</v>
      </c>
      <c r="D23" s="5" t="str">
        <f>IFERROR(__xludf.DUMMYFUNCTION("""COMPUTED_VALUE"""),"#N/A")</f>
        <v>#N/A</v>
      </c>
      <c r="E23" s="5">
        <f>IFERROR(__xludf.DUMMYFUNCTION("""COMPUTED_VALUE"""),5.0)</f>
        <v>5</v>
      </c>
      <c r="F23" s="5" t="str">
        <f>IFERROR(__xludf.DUMMYFUNCTION("""COMPUTED_VALUE"""),"Sverre trenger å jobbe litt med å være mer forberedt til møter slik at man får gode diskusjoner med godt gjennomtenkte løsninger fra start. Dette har jeg også snakket med Sverre om.")</f>
        <v>Sverre trenger å jobbe litt med å være mer forberedt til møter slik at man får gode diskusjoner med godt gjennomtenkte løsninger fra start. Dette har jeg også snakket med Sverre om.</v>
      </c>
      <c r="G23" s="5">
        <f>IFERROR(__xludf.DUMMYFUNCTION("""COMPUTED_VALUE"""),6.0)</f>
        <v>6</v>
      </c>
      <c r="H23" s="5" t="str">
        <f>IFERROR(__xludf.DUMMYFUNCTION("""COMPUTED_VALUE"""),"-")</f>
        <v>-</v>
      </c>
      <c r="I23" s="5">
        <f>IFERROR(__xludf.DUMMYFUNCTION("""COMPUTED_VALUE"""),5.0)</f>
        <v>5</v>
      </c>
      <c r="J23" s="5" t="str">
        <f>IFERROR(__xludf.DUMMYFUNCTION("""COMPUTED_VALUE"""),"Sverre kan gjerne dele mer rundt hvilke andre løsninger man heller bør se på i tilfeller der han ikke er enig med foreslått løsning. ")</f>
        <v>Sverre kan gjerne dele mer rundt hvilke andre løsninger man heller bør se på i tilfeller der han ikke er enig med foreslått løsning. </v>
      </c>
      <c r="K23" s="5">
        <f>IFERROR(__xludf.DUMMYFUNCTION("""COMPUTED_VALUE"""),5.0)</f>
        <v>5</v>
      </c>
      <c r="L23" s="5" t="str">
        <f>IFERROR(__xludf.DUMMYFUNCTION("""COMPUTED_VALUE"""),"Sverre kan gjerne ta mer eget initiativ opp mot andre team og særlig arkitektene i de andre teamene, og andre prosjekter, der vi har sammenfallende interesser. Være mer proaktiv.")</f>
        <v>Sverre kan gjerne ta mer eget initiativ opp mot andre team og særlig arkitektene i de andre teamene, og andre prosjekter, der vi har sammenfallende interesser. Være mer proaktiv.</v>
      </c>
      <c r="M23" s="5"/>
      <c r="N23" s="5" t="str">
        <f>IFERROR(__xludf.DUMMYFUNCTION("""COMPUTED_VALUE"""),"-")</f>
        <v>-</v>
      </c>
      <c r="O23" s="5">
        <f>IFERROR(__xludf.DUMMYFUNCTION("""COMPUTED_VALUE"""),6.0)</f>
        <v>6</v>
      </c>
      <c r="P23" s="5" t="str">
        <f>IFERROR(__xludf.DUMMYFUNCTION("""COMPUTED_VALUE"""),"-")</f>
        <v>-</v>
      </c>
      <c r="Q23" s="5" t="str">
        <f>IFERROR(__xludf.DUMMYFUNCTION("""COMPUTED_VALUE"""),"Ikke p.t.")</f>
        <v>Ikke p.t.</v>
      </c>
    </row>
    <row r="24">
      <c r="A24" s="11">
        <f>IFERROR(__xludf.DUMMYFUNCTION("""COMPUTED_VALUE"""),45607.69569444444)</f>
        <v>45607.69569</v>
      </c>
      <c r="B24" s="5" t="str">
        <f>IFERROR(__xludf.DUMMYFUNCTION("""COMPUTED_VALUE"""),"Skatteetaten")</f>
        <v>Skatteetaten</v>
      </c>
      <c r="C24" s="5" t="str">
        <f>IFERROR(__xludf.DUMMYFUNCTION("""COMPUTED_VALUE"""),"Iver Stubdal")</f>
        <v>Iver Stubdal</v>
      </c>
      <c r="D24" s="5" t="str">
        <f>IFERROR(__xludf.DUMMYFUNCTION("""COMPUTED_VALUE"""),"#N/A")</f>
        <v>#N/A</v>
      </c>
      <c r="E24" s="5">
        <f>IFERROR(__xludf.DUMMYFUNCTION("""COMPUTED_VALUE"""),6.0)</f>
        <v>6</v>
      </c>
      <c r="F24" s="5" t="str">
        <f>IFERROR(__xludf.DUMMYFUNCTION("""COMPUTED_VALUE"""),"Iver leverer som forventet i prosjektet.")</f>
        <v>Iver leverer som forventet i prosjektet.</v>
      </c>
      <c r="G24" s="5">
        <f>IFERROR(__xludf.DUMMYFUNCTION("""COMPUTED_VALUE"""),6.0)</f>
        <v>6</v>
      </c>
      <c r="H24" s="5" t="str">
        <f>IFERROR(__xludf.DUMMYFUNCTION("""COMPUTED_VALUE"""),"-")</f>
        <v>-</v>
      </c>
      <c r="I24" s="5">
        <f>IFERROR(__xludf.DUMMYFUNCTION("""COMPUTED_VALUE"""),5.0)</f>
        <v>5</v>
      </c>
      <c r="J24" s="5" t="str">
        <f>IFERROR(__xludf.DUMMYFUNCTION("""COMPUTED_VALUE"""),"Han bidrar og er aktiv i diskusjoner om løsningsvalg i teamet. Bidrar ikke så mye med kompetansedeling utover prosjektet. ")</f>
        <v>Han bidrar og er aktiv i diskusjoner om løsningsvalg i teamet. Bidrar ikke så mye med kompetansedeling utover prosjektet. </v>
      </c>
      <c r="K24" s="5">
        <f>IFERROR(__xludf.DUMMYFUNCTION("""COMPUTED_VALUE"""),6.0)</f>
        <v>6</v>
      </c>
      <c r="L24" s="5" t="str">
        <f>IFERROR(__xludf.DUMMYFUNCTION("""COMPUTED_VALUE"""),"Iver samarbeider bra med teamet. Kommuniserer og rapporterer klart i møtene. Passer godt inn i miljøet i prosjektet. ")</f>
        <v>Iver samarbeider bra med teamet. Kommuniserer og rapporterer klart i møtene. Passer godt inn i miljøet i prosjektet. </v>
      </c>
      <c r="M24" s="5"/>
      <c r="N24" s="5" t="str">
        <f>IFERROR(__xludf.DUMMYFUNCTION("""COMPUTED_VALUE"""),"-")</f>
        <v>-</v>
      </c>
      <c r="O24" s="5">
        <f>IFERROR(__xludf.DUMMYFUNCTION("""COMPUTED_VALUE"""),4.0)</f>
        <v>4</v>
      </c>
      <c r="P24" s="5" t="str">
        <f>IFERROR(__xludf.DUMMYFUNCTION("""COMPUTED_VALUE"""),"Har i kategorien ekspert en høy timepris. ")</f>
        <v>Har i kategorien ekspert en høy timepris. </v>
      </c>
      <c r="Q24" s="5" t="str">
        <f>IFERROR(__xludf.DUMMYFUNCTION("""COMPUTED_VALUE"""),"-")</f>
        <v>-</v>
      </c>
    </row>
    <row r="25">
      <c r="A25" s="11">
        <f>IFERROR(__xludf.DUMMYFUNCTION("""COMPUTED_VALUE"""),45609.48516203703)</f>
        <v>45609.48516</v>
      </c>
      <c r="B25" s="5" t="str">
        <f>IFERROR(__xludf.DUMMYFUNCTION("""COMPUTED_VALUE"""),"Skatteetaten")</f>
        <v>Skatteetaten</v>
      </c>
      <c r="C25" s="5" t="str">
        <f>IFERROR(__xludf.DUMMYFUNCTION("""COMPUTED_VALUE"""),"Thomas Arp")</f>
        <v>Thomas Arp</v>
      </c>
      <c r="D25" s="5" t="str">
        <f>IFERROR(__xludf.DUMMYFUNCTION("""COMPUTED_VALUE"""),"#N/A")</f>
        <v>#N/A</v>
      </c>
      <c r="E25" s="5">
        <f>IFERROR(__xludf.DUMMYFUNCTION("""COMPUTED_VALUE"""),6.0)</f>
        <v>6</v>
      </c>
      <c r="F25" s="5" t="str">
        <f>IFERROR(__xludf.DUMMYFUNCTION("""COMPUTED_VALUE"""),"Thomas er teamleder og teamarkitekt for oss. Selv med to krevende roller som er utfordrende å kombinere leverer han svært godt.
Som teamleder er han dyktig til å fordele og ha oversikt over oppgaver og teammedlemmer, han ser hver enkelt og fungerer godt "&amp;"i rollen som sosialt lim i et distribuert team.
Som arkitekt er han sentral i utviklingen av nye løsninger og også i saneringen av gamle, det er et enormt spekter av oppgaver og kompetanseområder som han spenner over.
Thomas er en usedvanlig hyggelig fy"&amp;"r, og kombinerer det med enorm kompetanse. Sjelden vare.")</f>
        <v>Thomas er teamleder og teamarkitekt for oss. Selv med to krevende roller som er utfordrende å kombinere leverer han svært godt.
Som teamleder er han dyktig til å fordele og ha oversikt over oppgaver og teammedlemmer, han ser hver enkelt og fungerer godt i rollen som sosialt lim i et distribuert team.
Som arkitekt er han sentral i utviklingen av nye løsninger og også i saneringen av gamle, det er et enormt spekter av oppgaver og kompetanseområder som han spenner over.
Thomas er en usedvanlig hyggelig fyr, og kombinerer det med enorm kompetanse. Sjelden vare.</v>
      </c>
      <c r="G25" s="5">
        <f>IFERROR(__xludf.DUMMYFUNCTION("""COMPUTED_VALUE"""),6.0)</f>
        <v>6</v>
      </c>
      <c r="H25" s="5" t="str">
        <f>IFERROR(__xludf.DUMMYFUNCTION("""COMPUTED_VALUE"""),"-")</f>
        <v>-</v>
      </c>
      <c r="I25" s="5">
        <f>IFERROR(__xludf.DUMMYFUNCTION("""COMPUTED_VALUE"""),6.0)</f>
        <v>6</v>
      </c>
      <c r="J25" s="5" t="str">
        <f>IFERROR(__xludf.DUMMYFUNCTION("""COMPUTED_VALUE"""),"-")</f>
        <v>-</v>
      </c>
      <c r="K25" s="5">
        <f>IFERROR(__xludf.DUMMYFUNCTION("""COMPUTED_VALUE"""),6.0)</f>
        <v>6</v>
      </c>
      <c r="L25" s="5" t="str">
        <f>IFERROR(__xludf.DUMMYFUNCTION("""COMPUTED_VALUE"""),"Jeg og Thomas har ukentlige 1:1-møter, og han er tydelig på forventninger og behov dersom det trengs - det er viktig og nyttig for at vi skal bevege oss fremover.")</f>
        <v>Jeg og Thomas har ukentlige 1:1-møter, og han er tydelig på forventninger og behov dersom det trengs - det er viktig og nyttig for at vi skal bevege oss fremover.</v>
      </c>
      <c r="M25" s="5"/>
      <c r="N25" s="5" t="str">
        <f>IFERROR(__xludf.DUMMYFUNCTION("""COMPUTED_VALUE"""),"-")</f>
        <v>-</v>
      </c>
      <c r="O25" s="5">
        <f>IFERROR(__xludf.DUMMYFUNCTION("""COMPUTED_VALUE"""),6.0)</f>
        <v>6</v>
      </c>
      <c r="P25" s="5" t="str">
        <f>IFERROR(__xludf.DUMMYFUNCTION("""COMPUTED_VALUE"""),"-")</f>
        <v>-</v>
      </c>
      <c r="Q25" s="5" t="str">
        <f>IFERROR(__xludf.DUMMYFUNCTION("""COMPUTED_VALUE"""),"-")</f>
        <v>-</v>
      </c>
    </row>
    <row r="26">
      <c r="A26" s="11">
        <f>IFERROR(__xludf.DUMMYFUNCTION("""COMPUTED_VALUE"""),45621.58930555556)</f>
        <v>45621.58931</v>
      </c>
      <c r="B26" s="5" t="str">
        <f>IFERROR(__xludf.DUMMYFUNCTION("""COMPUTED_VALUE"""),"NAV")</f>
        <v>NAV</v>
      </c>
      <c r="C26" s="5" t="str">
        <f>IFERROR(__xludf.DUMMYFUNCTION("""COMPUTED_VALUE"""),"Matthew Koranda")</f>
        <v>Matthew Koranda</v>
      </c>
      <c r="D26" s="5" t="str">
        <f>IFERROR(__xludf.DUMMYFUNCTION("""COMPUTED_VALUE"""),"#N/A")</f>
        <v>#N/A</v>
      </c>
      <c r="E26" s="5">
        <f>IFERROR(__xludf.DUMMYFUNCTION("""COMPUTED_VALUE"""),6.0)</f>
        <v>6</v>
      </c>
      <c r="F26" s="5" t="str">
        <f>IFERROR(__xludf.DUMMYFUNCTION("""COMPUTED_VALUE"""),"Konsulenten leverer som forventet av en sjefskonsulent")</f>
        <v>Konsulenten leverer som forventet av en sjefskonsulent</v>
      </c>
      <c r="G26" s="5">
        <f>IFERROR(__xludf.DUMMYFUNCTION("""COMPUTED_VALUE"""),5.0)</f>
        <v>5</v>
      </c>
      <c r="H26" s="5" t="str">
        <f>IFERROR(__xludf.DUMMYFUNCTION("""COMPUTED_VALUE"""),"Har gjennom oppdraget ervervet seg nødvendig kompetanse.")</f>
        <v>Har gjennom oppdraget ervervet seg nødvendig kompetanse.</v>
      </c>
      <c r="I26" s="5">
        <f>IFERROR(__xludf.DUMMYFUNCTION("""COMPUTED_VALUE"""),6.0)</f>
        <v>6</v>
      </c>
      <c r="J26" s="5" t="str">
        <f>IFERROR(__xludf.DUMMYFUNCTION("""COMPUTED_VALUE"""),"Konsulenten har hele tiden vist en åpen og fin holdning når det gjelder kompetansedeling")</f>
        <v>Konsulenten har hele tiden vist en åpen og fin holdning når det gjelder kompetansedeling</v>
      </c>
      <c r="K26" s="5">
        <f>IFERROR(__xludf.DUMMYFUNCTION("""COMPUTED_VALUE"""),6.0)</f>
        <v>6</v>
      </c>
      <c r="L26" s="5" t="str">
        <f>IFERROR(__xludf.DUMMYFUNCTION("""COMPUTED_VALUE"""),"samarbeider veldig bra.")</f>
        <v>samarbeider veldig bra.</v>
      </c>
      <c r="M26" s="5"/>
      <c r="N26" s="5" t="str">
        <f>IFERROR(__xludf.DUMMYFUNCTION("""COMPUTED_VALUE"""),"N/A")</f>
        <v>N/A</v>
      </c>
      <c r="O26" s="5">
        <f>IFERROR(__xludf.DUMMYFUNCTION("""COMPUTED_VALUE"""),5.0)</f>
        <v>5</v>
      </c>
      <c r="P26" s="5" t="str">
        <f>IFERROR(__xludf.DUMMYFUNCTION("""COMPUTED_VALUE"""),"kostbar sjefskonsulent.")</f>
        <v>kostbar sjefskonsulent.</v>
      </c>
      <c r="Q26" s="5" t="str">
        <f>IFERROR(__xludf.DUMMYFUNCTION("""COMPUTED_VALUE"""),"-")</f>
        <v>-</v>
      </c>
    </row>
    <row r="27">
      <c r="A27" s="11">
        <f>IFERROR(__xludf.DUMMYFUNCTION("""COMPUTED_VALUE"""),45621.610173611116)</f>
        <v>45621.61017</v>
      </c>
      <c r="B27" s="5" t="str">
        <f>IFERROR(__xludf.DUMMYFUNCTION("""COMPUTED_VALUE"""),"Sikt")</f>
        <v>Sikt</v>
      </c>
      <c r="C27" s="5" t="str">
        <f>IFERROR(__xludf.DUMMYFUNCTION("""COMPUTED_VALUE"""),"Lasse Krabye")</f>
        <v>Lasse Krabye</v>
      </c>
      <c r="D27" s="5" t="str">
        <f>IFERROR(__xludf.DUMMYFUNCTION("""COMPUTED_VALUE"""),"#N/A")</f>
        <v>#N/A</v>
      </c>
      <c r="E27" s="5">
        <f>IFERROR(__xludf.DUMMYFUNCTION("""COMPUTED_VALUE"""),5.0)</f>
        <v>5</v>
      </c>
      <c r="F27" s="5" t="str">
        <f>IFERROR(__xludf.DUMMYFUNCTION("""COMPUTED_VALUE"""),"-")</f>
        <v>-</v>
      </c>
      <c r="G27" s="5">
        <f>IFERROR(__xludf.DUMMYFUNCTION("""COMPUTED_VALUE"""),6.0)</f>
        <v>6</v>
      </c>
      <c r="H27" s="5" t="str">
        <f>IFERROR(__xludf.DUMMYFUNCTION("""COMPUTED_VALUE"""),"-")</f>
        <v>-</v>
      </c>
      <c r="I27" s="5">
        <f>IFERROR(__xludf.DUMMYFUNCTION("""COMPUTED_VALUE"""),5.0)</f>
        <v>5</v>
      </c>
      <c r="J27" s="5" t="str">
        <f>IFERROR(__xludf.DUMMYFUNCTION("""COMPUTED_VALUE"""),"-")</f>
        <v>-</v>
      </c>
      <c r="K27" s="5">
        <f>IFERROR(__xludf.DUMMYFUNCTION("""COMPUTED_VALUE"""),5.0)</f>
        <v>5</v>
      </c>
      <c r="L27" s="5" t="str">
        <f>IFERROR(__xludf.DUMMYFUNCTION("""COMPUTED_VALUE"""),"-")</f>
        <v>-</v>
      </c>
      <c r="M27" s="5">
        <f>IFERROR(__xludf.DUMMYFUNCTION("""COMPUTED_VALUE"""),5.0)</f>
        <v>5</v>
      </c>
      <c r="N27" s="5" t="str">
        <f>IFERROR(__xludf.DUMMYFUNCTION("""COMPUTED_VALUE"""),"-")</f>
        <v>-</v>
      </c>
      <c r="O27" s="5">
        <f>IFERROR(__xludf.DUMMYFUNCTION("""COMPUTED_VALUE"""),6.0)</f>
        <v>6</v>
      </c>
      <c r="P27" s="5" t="str">
        <f>IFERROR(__xludf.DUMMYFUNCTION("""COMPUTED_VALUE"""),"-")</f>
        <v>-</v>
      </c>
      <c r="Q27" s="5" t="str">
        <f>IFERROR(__xludf.DUMMYFUNCTION("""COMPUTED_VALUE"""),"-")</f>
        <v>-</v>
      </c>
    </row>
    <row r="28">
      <c r="A28" s="11">
        <f>IFERROR(__xludf.DUMMYFUNCTION("""COMPUTED_VALUE"""),45621.611562499995)</f>
        <v>45621.61156</v>
      </c>
      <c r="B28" s="5" t="str">
        <f>IFERROR(__xludf.DUMMYFUNCTION("""COMPUTED_VALUE"""),"Sikt")</f>
        <v>Sikt</v>
      </c>
      <c r="C28" s="5" t="str">
        <f>IFERROR(__xludf.DUMMYFUNCTION("""COMPUTED_VALUE"""),"Petter Kristiansen")</f>
        <v>Petter Kristiansen</v>
      </c>
      <c r="D28" s="5" t="str">
        <f>IFERROR(__xludf.DUMMYFUNCTION("""COMPUTED_VALUE"""),"#N/A")</f>
        <v>#N/A</v>
      </c>
      <c r="E28" s="5">
        <f>IFERROR(__xludf.DUMMYFUNCTION("""COMPUTED_VALUE"""),6.0)</f>
        <v>6</v>
      </c>
      <c r="F28" s="5" t="str">
        <f>IFERROR(__xludf.DUMMYFUNCTION("""COMPUTED_VALUE"""),"-")</f>
        <v>-</v>
      </c>
      <c r="G28" s="5">
        <f>IFERROR(__xludf.DUMMYFUNCTION("""COMPUTED_VALUE"""),5.0)</f>
        <v>5</v>
      </c>
      <c r="H28" s="5" t="str">
        <f>IFERROR(__xludf.DUMMYFUNCTION("""COMPUTED_VALUE"""),"-")</f>
        <v>-</v>
      </c>
      <c r="I28" s="5">
        <f>IFERROR(__xludf.DUMMYFUNCTION("""COMPUTED_VALUE"""),6.0)</f>
        <v>6</v>
      </c>
      <c r="J28" s="5" t="str">
        <f>IFERROR(__xludf.DUMMYFUNCTION("""COMPUTED_VALUE"""),"-")</f>
        <v>-</v>
      </c>
      <c r="K28" s="5">
        <f>IFERROR(__xludf.DUMMYFUNCTION("""COMPUTED_VALUE"""),6.0)</f>
        <v>6</v>
      </c>
      <c r="L28" s="5" t="str">
        <f>IFERROR(__xludf.DUMMYFUNCTION("""COMPUTED_VALUE"""),"-")</f>
        <v>-</v>
      </c>
      <c r="M28" s="5">
        <f>IFERROR(__xludf.DUMMYFUNCTION("""COMPUTED_VALUE"""),5.0)</f>
        <v>5</v>
      </c>
      <c r="N28" s="5" t="str">
        <f>IFERROR(__xludf.DUMMYFUNCTION("""COMPUTED_VALUE"""),"-")</f>
        <v>-</v>
      </c>
      <c r="O28" s="5">
        <f>IFERROR(__xludf.DUMMYFUNCTION("""COMPUTED_VALUE"""),6.0)</f>
        <v>6</v>
      </c>
      <c r="P28" s="5" t="str">
        <f>IFERROR(__xludf.DUMMYFUNCTION("""COMPUTED_VALUE"""),"-")</f>
        <v>-</v>
      </c>
      <c r="Q28" s="5" t="str">
        <f>IFERROR(__xludf.DUMMYFUNCTION("""COMPUTED_VALUE"""),"-")</f>
        <v>-</v>
      </c>
    </row>
    <row r="29">
      <c r="A29" s="11">
        <f>IFERROR(__xludf.DUMMYFUNCTION("""COMPUTED_VALUE"""),45623.57896990741)</f>
        <v>45623.57897</v>
      </c>
      <c r="B29" s="5" t="str">
        <f>IFERROR(__xludf.DUMMYFUNCTION("""COMPUTED_VALUE"""),"Posten/Bring")</f>
        <v>Posten/Bring</v>
      </c>
      <c r="C29" s="5" t="str">
        <f>IFERROR(__xludf.DUMMYFUNCTION("""COMPUTED_VALUE"""),"Jonathan Share")</f>
        <v>Jonathan Share</v>
      </c>
      <c r="D29" s="5" t="str">
        <f>IFERROR(__xludf.DUMMYFUNCTION("""COMPUTED_VALUE"""),"#N/A")</f>
        <v>#N/A</v>
      </c>
      <c r="E29" s="5">
        <f>IFERROR(__xludf.DUMMYFUNCTION("""COMPUTED_VALUE"""),6.0)</f>
        <v>6</v>
      </c>
      <c r="F29" s="5" t="str">
        <f>IFERROR(__xludf.DUMMYFUNCTION("""COMPUTED_VALUE"""),"Jonathan ""kan alt""")</f>
        <v>Jonathan "kan alt"</v>
      </c>
      <c r="G29" s="5">
        <f>IFERROR(__xludf.DUMMYFUNCTION("""COMPUTED_VALUE"""),6.0)</f>
        <v>6</v>
      </c>
      <c r="H29" s="5" t="str">
        <f>IFERROR(__xludf.DUMMYFUNCTION("""COMPUTED_VALUE"""),"Veldig bra. Det han ikke kan fra før finner han ut av
")</f>
        <v>Veldig bra. Det han ikke kan fra før finner han ut av
</v>
      </c>
      <c r="I29" s="5">
        <f>IFERROR(__xludf.DUMMYFUNCTION("""COMPUTED_VALUE"""),6.0)</f>
        <v>6</v>
      </c>
      <c r="J29" s="5" t="str">
        <f>IFERROR(__xludf.DUMMYFUNCTION("""COMPUTED_VALUE"""),"Jonathan er aktiv i Slack kanaler, presenterer på kompetansedelingsfora")</f>
        <v>Jonathan er aktiv i Slack kanaler, presenterer på kompetansedelingsfora</v>
      </c>
      <c r="K29" s="5">
        <f>IFERROR(__xludf.DUMMYFUNCTION("""COMPUTED_VALUE"""),6.0)</f>
        <v>6</v>
      </c>
      <c r="L29" s="5" t="str">
        <f>IFERROR(__xludf.DUMMYFUNCTION("""COMPUTED_VALUE"""),"-")</f>
        <v>-</v>
      </c>
      <c r="M29" s="5">
        <f>IFERROR(__xludf.DUMMYFUNCTION("""COMPUTED_VALUE"""),6.0)</f>
        <v>6</v>
      </c>
      <c r="N29" s="5" t="str">
        <f>IFERROR(__xludf.DUMMYFUNCTION("""COMPUTED_VALUE"""),"Kristoffer er alltid tilgjengelig")</f>
        <v>Kristoffer er alltid tilgjengelig</v>
      </c>
      <c r="O29" s="5">
        <f>IFERROR(__xludf.DUMMYFUNCTION("""COMPUTED_VALUE"""),5.0)</f>
        <v>5</v>
      </c>
      <c r="P29" s="5" t="str">
        <f>IFERROR(__xludf.DUMMYFUNCTION("""COMPUTED_VALUE"""),"Ganske stive timepriser, men Jonathan gjør en meget god jobb")</f>
        <v>Ganske stive timepriser, men Jonathan gjør en meget god jobb</v>
      </c>
      <c r="Q29" s="5" t="str">
        <f>IFERROR(__xludf.DUMMYFUNCTION("""COMPUTED_VALUE"""),"-")</f>
        <v>-</v>
      </c>
    </row>
    <row r="30">
      <c r="A30" s="11">
        <f>IFERROR(__xludf.DUMMYFUNCTION("""COMPUTED_VALUE"""),45623.5805324074)</f>
        <v>45623.58053</v>
      </c>
      <c r="B30" s="5" t="str">
        <f>IFERROR(__xludf.DUMMYFUNCTION("""COMPUTED_VALUE"""),"Posten/Bring")</f>
        <v>Posten/Bring</v>
      </c>
      <c r="C30" s="5" t="str">
        <f>IFERROR(__xludf.DUMMYFUNCTION("""COMPUTED_VALUE"""),"Arild Nilsen")</f>
        <v>Arild Nilsen</v>
      </c>
      <c r="D30" s="5" t="str">
        <f>IFERROR(__xludf.DUMMYFUNCTION("""COMPUTED_VALUE"""),"#N/A")</f>
        <v>#N/A</v>
      </c>
      <c r="E30" s="5">
        <f>IFERROR(__xludf.DUMMYFUNCTION("""COMPUTED_VALUE"""),6.0)</f>
        <v>6</v>
      </c>
      <c r="F30" s="5" t="str">
        <f>IFERROR(__xludf.DUMMYFUNCTION("""COMPUTED_VALUE"""),"Arild leverer godt og er en meget viktig del av teamet. Selvstendig og leverer med kvalitet og effektivitet.")</f>
        <v>Arild leverer godt og er en meget viktig del av teamet. Selvstendig og leverer med kvalitet og effektivitet.</v>
      </c>
      <c r="G30" s="5">
        <f>IFERROR(__xludf.DUMMYFUNCTION("""COMPUTED_VALUE"""),6.0)</f>
        <v>6</v>
      </c>
      <c r="H30" s="5" t="str">
        <f>IFERROR(__xludf.DUMMYFUNCTION("""COMPUTED_VALUE"""),"-")</f>
        <v>-</v>
      </c>
      <c r="I30" s="5">
        <f>IFERROR(__xludf.DUMMYFUNCTION("""COMPUTED_VALUE"""),6.0)</f>
        <v>6</v>
      </c>
      <c r="J30" s="5" t="str">
        <f>IFERROR(__xludf.DUMMYFUNCTION("""COMPUTED_VALUE"""),"-")</f>
        <v>-</v>
      </c>
      <c r="K30" s="5">
        <f>IFERROR(__xludf.DUMMYFUNCTION("""COMPUTED_VALUE"""),6.0)</f>
        <v>6</v>
      </c>
      <c r="L30" s="5" t="str">
        <f>IFERROR(__xludf.DUMMYFUNCTION("""COMPUTED_VALUE"""),"-")</f>
        <v>-</v>
      </c>
      <c r="M30" s="5"/>
      <c r="N30" s="5" t="str">
        <f>IFERROR(__xludf.DUMMYFUNCTION("""COMPUTED_VALUE"""),"Den dialogen skjer mellom andre enn meg.")</f>
        <v>Den dialogen skjer mellom andre enn meg.</v>
      </c>
      <c r="O30" s="5"/>
      <c r="P30" s="5" t="str">
        <f>IFERROR(__xludf.DUMMYFUNCTION("""COMPUTED_VALUE"""),"-")</f>
        <v>-</v>
      </c>
      <c r="Q30" s="5" t="str">
        <f>IFERROR(__xludf.DUMMYFUNCTION("""COMPUTED_VALUE"""),"-")</f>
        <v>-</v>
      </c>
    </row>
    <row r="31">
      <c r="A31" s="11">
        <f>IFERROR(__xludf.DUMMYFUNCTION("""COMPUTED_VALUE"""),45632.32341435185)</f>
        <v>45632.32341</v>
      </c>
      <c r="B31" s="5" t="str">
        <f>IFERROR(__xludf.DUMMYFUNCTION("""COMPUTED_VALUE"""),"Posten/Bring")</f>
        <v>Posten/Bring</v>
      </c>
      <c r="C31" s="5" t="str">
        <f>IFERROR(__xludf.DUMMYFUNCTION("""COMPUTED_VALUE"""),"Gunnar Gauslaa Bergem")</f>
        <v>Gunnar Gauslaa Bergem</v>
      </c>
      <c r="D31" s="5" t="str">
        <f>IFERROR(__xludf.DUMMYFUNCTION("""COMPUTED_VALUE"""),"#N/A")</f>
        <v>#N/A</v>
      </c>
      <c r="E31" s="5">
        <f>IFERROR(__xludf.DUMMYFUNCTION("""COMPUTED_VALUE"""),5.0)</f>
        <v>5</v>
      </c>
      <c r="F31" s="5" t="str">
        <f>IFERROR(__xludf.DUMMYFUNCTION("""COMPUTED_VALUE"""),"Ingenting å utsette på kvalitet på arbeid og pålitelighet. Savner noe mer proaktive bidrag i diskusjoner på teamet og andre forum for utviklere.")</f>
        <v>Ingenting å utsette på kvalitet på arbeid og pålitelighet. Savner noe mer proaktive bidrag i diskusjoner på teamet og andre forum for utviklere.</v>
      </c>
      <c r="G31" s="5">
        <f>IFERROR(__xludf.DUMMYFUNCTION("""COMPUTED_VALUE"""),6.0)</f>
        <v>6</v>
      </c>
      <c r="H31" s="5" t="str">
        <f>IFERROR(__xludf.DUMMYFUNCTION("""COMPUTED_VALUE"""),"-")</f>
        <v>-</v>
      </c>
      <c r="I31" s="5"/>
      <c r="J31" s="5" t="str">
        <f>IFERROR(__xludf.DUMMYFUNCTION("""COMPUTED_VALUE"""),"Ref kommentar på spørsmål 3. Dette kan gjerne gjøres mer proaktivt enn det gjøres idag.")</f>
        <v>Ref kommentar på spørsmål 3. Dette kan gjerne gjøres mer proaktivt enn det gjøres idag.</v>
      </c>
      <c r="K31" s="5">
        <f>IFERROR(__xludf.DUMMYFUNCTION("""COMPUTED_VALUE"""),5.0)</f>
        <v>5</v>
      </c>
      <c r="L31" s="5" t="str">
        <f>IFERROR(__xludf.DUMMYFUNCTION("""COMPUTED_VALUE"""),"-")</f>
        <v>-</v>
      </c>
      <c r="M31" s="5"/>
      <c r="N31" s="5" t="str">
        <f>IFERROR(__xludf.DUMMYFUNCTION("""COMPUTED_VALUE"""),"Jeg har som teamleder ikke kontakt med Overhuset selv.")</f>
        <v>Jeg har som teamleder ikke kontakt med Overhuset selv.</v>
      </c>
      <c r="O31" s="5"/>
      <c r="P31" s="5" t="str">
        <f>IFERROR(__xludf.DUMMYFUNCTION("""COMPUTED_VALUE"""),"Jeg som teamleder sitter ikke på informasjon om kost.")</f>
        <v>Jeg som teamleder sitter ikke på informasjon om kost.</v>
      </c>
      <c r="Q31" s="5" t="str">
        <f>IFERROR(__xludf.DUMMYFUNCTION("""COMPUTED_VALUE"""),"-")</f>
        <v>-</v>
      </c>
    </row>
    <row r="32">
      <c r="A32" s="11">
        <f>IFERROR(__xludf.DUMMYFUNCTION("""COMPUTED_VALUE"""),45637.39815972222)</f>
        <v>45637.39816</v>
      </c>
      <c r="B32" s="5" t="str">
        <f>IFERROR(__xludf.DUMMYFUNCTION("""COMPUTED_VALUE"""),"Skatteetaten")</f>
        <v>Skatteetaten</v>
      </c>
      <c r="C32" s="5" t="str">
        <f>IFERROR(__xludf.DUMMYFUNCTION("""COMPUTED_VALUE"""),"Rune Offerdal")</f>
        <v>Rune Offerdal</v>
      </c>
      <c r="D32" s="5" t="str">
        <f>IFERROR(__xludf.DUMMYFUNCTION("""COMPUTED_VALUE"""),"#N/A")</f>
        <v>#N/A</v>
      </c>
      <c r="E32" s="5">
        <f>IFERROR(__xludf.DUMMYFUNCTION("""COMPUTED_VALUE"""),6.0)</f>
        <v>6</v>
      </c>
      <c r="F32" s="5" t="str">
        <f>IFERROR(__xludf.DUMMYFUNCTION("""COMPUTED_VALUE"""),"-")</f>
        <v>-</v>
      </c>
      <c r="G32" s="5">
        <f>IFERROR(__xludf.DUMMYFUNCTION("""COMPUTED_VALUE"""),6.0)</f>
        <v>6</v>
      </c>
      <c r="H32" s="5" t="str">
        <f>IFERROR(__xludf.DUMMYFUNCTION("""COMPUTED_VALUE"""),"-")</f>
        <v>-</v>
      </c>
      <c r="I32" s="5">
        <f>IFERROR(__xludf.DUMMYFUNCTION("""COMPUTED_VALUE"""),6.0)</f>
        <v>6</v>
      </c>
      <c r="J32" s="5" t="str">
        <f>IFERROR(__xludf.DUMMYFUNCTION("""COMPUTED_VALUE"""),"-")</f>
        <v>-</v>
      </c>
      <c r="K32" s="5">
        <f>IFERROR(__xludf.DUMMYFUNCTION("""COMPUTED_VALUE"""),6.0)</f>
        <v>6</v>
      </c>
      <c r="L32" s="5" t="str">
        <f>IFERROR(__xludf.DUMMYFUNCTION("""COMPUTED_VALUE"""),"-")</f>
        <v>-</v>
      </c>
      <c r="M32" s="5"/>
      <c r="N32" s="5" t="str">
        <f>IFERROR(__xludf.DUMMYFUNCTION("""COMPUTED_VALUE"""),"-")</f>
        <v>-</v>
      </c>
      <c r="O32" s="5">
        <f>IFERROR(__xludf.DUMMYFUNCTION("""COMPUTED_VALUE"""),5.0)</f>
        <v>5</v>
      </c>
      <c r="P32" s="5" t="str">
        <f>IFERROR(__xludf.DUMMYFUNCTION("""COMPUTED_VALUE"""),"-")</f>
        <v>-</v>
      </c>
      <c r="Q32" s="5" t="str">
        <f>IFERROR(__xludf.DUMMYFUNCTION("""COMPUTED_VALUE"""),"-")</f>
        <v>-</v>
      </c>
    </row>
    <row r="33">
      <c r="A33" s="11">
        <f>IFERROR(__xludf.DUMMYFUNCTION("""COMPUTED_VALUE"""),45232.449421296296)</f>
        <v>45232.44942</v>
      </c>
      <c r="B33" s="5" t="str">
        <f>IFERROR(__xludf.DUMMYFUNCTION("""COMPUTED_VALUE"""),"NAV")</f>
        <v>NAV</v>
      </c>
      <c r="C33" s="5" t="str">
        <f>IFERROR(__xludf.DUMMYFUNCTION("""COMPUTED_VALUE"""),"Håvard Andersen")</f>
        <v>Håvard Andersen</v>
      </c>
      <c r="D33" s="5" t="str">
        <f>IFERROR(__xludf.DUMMYFUNCTION("""COMPUTED_VALUE"""),"#N/A")</f>
        <v>#N/A</v>
      </c>
      <c r="E33" s="5">
        <f>IFERROR(__xludf.DUMMYFUNCTION("""COMPUTED_VALUE"""),6.0)</f>
        <v>6</v>
      </c>
      <c r="F33" s="5" t="str">
        <f>IFERROR(__xludf.DUMMYFUNCTION("""COMPUTED_VALUE"""),"-")</f>
        <v>-</v>
      </c>
      <c r="G33" s="5">
        <f>IFERROR(__xludf.DUMMYFUNCTION("""COMPUTED_VALUE"""),6.0)</f>
        <v>6</v>
      </c>
      <c r="H33" s="5" t="str">
        <f>IFERROR(__xludf.DUMMYFUNCTION("""COMPUTED_VALUE"""),"-")</f>
        <v>-</v>
      </c>
      <c r="I33" s="5">
        <f>IFERROR(__xludf.DUMMYFUNCTION("""COMPUTED_VALUE"""),6.0)</f>
        <v>6</v>
      </c>
      <c r="J33" s="5" t="str">
        <f>IFERROR(__xludf.DUMMYFUNCTION("""COMPUTED_VALUE"""),"-")</f>
        <v>-</v>
      </c>
      <c r="K33" s="5">
        <f>IFERROR(__xludf.DUMMYFUNCTION("""COMPUTED_VALUE"""),6.0)</f>
        <v>6</v>
      </c>
      <c r="L33" s="5" t="str">
        <f>IFERROR(__xludf.DUMMYFUNCTION("""COMPUTED_VALUE"""),"-")</f>
        <v>-</v>
      </c>
      <c r="M33" s="5"/>
      <c r="N33" s="5" t="str">
        <f>IFERROR(__xludf.DUMMYFUNCTION("""COMPUTED_VALUE"""),"-")</f>
        <v>-</v>
      </c>
      <c r="O33" s="5">
        <f>IFERROR(__xludf.DUMMYFUNCTION("""COMPUTED_VALUE"""),5.0)</f>
        <v>5</v>
      </c>
      <c r="P33" s="5" t="str">
        <f>IFERROR(__xludf.DUMMYFUNCTION("""COMPUTED_VALUE"""),"-")</f>
        <v>-</v>
      </c>
      <c r="Q33" s="5" t="str">
        <f>IFERROR(__xludf.DUMMYFUNCTION("""COMPUTED_VALUE"""),"-")</f>
        <v>-</v>
      </c>
    </row>
    <row r="34">
      <c r="A34" s="11">
        <f>IFERROR(__xludf.DUMMYFUNCTION("""COMPUTED_VALUE"""),45232.52071759259)</f>
        <v>45232.52072</v>
      </c>
      <c r="B34" s="5" t="str">
        <f>IFERROR(__xludf.DUMMYFUNCTION("""COMPUTED_VALUE"""),"NAV")</f>
        <v>NAV</v>
      </c>
      <c r="C34" s="5" t="str">
        <f>IFERROR(__xludf.DUMMYFUNCTION("""COMPUTED_VALUE"""),"Ingleiv Johansen")</f>
        <v>Ingleiv Johansen</v>
      </c>
      <c r="D34" s="5" t="str">
        <f>IFERROR(__xludf.DUMMYFUNCTION("""COMPUTED_VALUE"""),"#N/A")</f>
        <v>#N/A</v>
      </c>
      <c r="E34" s="5">
        <f>IFERROR(__xludf.DUMMYFUNCTION("""COMPUTED_VALUE"""),6.0)</f>
        <v>6</v>
      </c>
      <c r="F34" s="5" t="str">
        <f>IFERROR(__xludf.DUMMYFUNCTION("""COMPUTED_VALUE"""),"-")</f>
        <v>-</v>
      </c>
      <c r="G34" s="5">
        <f>IFERROR(__xludf.DUMMYFUNCTION("""COMPUTED_VALUE"""),6.0)</f>
        <v>6</v>
      </c>
      <c r="H34" s="5" t="str">
        <f>IFERROR(__xludf.DUMMYFUNCTION("""COMPUTED_VALUE"""),"-")</f>
        <v>-</v>
      </c>
      <c r="I34" s="5">
        <f>IFERROR(__xludf.DUMMYFUNCTION("""COMPUTED_VALUE"""),6.0)</f>
        <v>6</v>
      </c>
      <c r="J34" s="5" t="str">
        <f>IFERROR(__xludf.DUMMYFUNCTION("""COMPUTED_VALUE"""),"Opplever Ingleiv som en person som er flink til å dele generelt og opptatt av å formidle sin kompetanse på en måte som resten av teamet forstår")</f>
        <v>Opplever Ingleiv som en person som er flink til å dele generelt og opptatt av å formidle sin kompetanse på en måte som resten av teamet forstår</v>
      </c>
      <c r="K34" s="5">
        <f>IFERROR(__xludf.DUMMYFUNCTION("""COMPUTED_VALUE"""),6.0)</f>
        <v>6</v>
      </c>
      <c r="L34" s="5" t="str">
        <f>IFERROR(__xludf.DUMMYFUNCTION("""COMPUTED_VALUE"""),"Ingleiv er en veldig positiv og løsningsorientert person som er lett å samarbeide med.")</f>
        <v>Ingleiv er en veldig positiv og løsningsorientert person som er lett å samarbeide med.</v>
      </c>
      <c r="M34" s="5"/>
      <c r="N34" s="5" t="str">
        <f>IFERROR(__xludf.DUMMYFUNCTION("""COMPUTED_VALUE"""),"-")</f>
        <v>-</v>
      </c>
      <c r="O34" s="5">
        <f>IFERROR(__xludf.DUMMYFUNCTION("""COMPUTED_VALUE"""),5.0)</f>
        <v>5</v>
      </c>
      <c r="P34" s="5" t="str">
        <f>IFERROR(__xludf.DUMMYFUNCTION("""COMPUTED_VALUE"""),"Opplever at Ingleiv er vel verdt kostnaden.")</f>
        <v>Opplever at Ingleiv er vel verdt kostnaden.</v>
      </c>
      <c r="Q34" s="5" t="str">
        <f>IFERROR(__xludf.DUMMYFUNCTION("""COMPUTED_VALUE"""),"-")</f>
        <v>-</v>
      </c>
    </row>
    <row r="35">
      <c r="A35" s="11">
        <f>IFERROR(__xludf.DUMMYFUNCTION("""COMPUTED_VALUE"""),45236.327465277776)</f>
        <v>45236.32747</v>
      </c>
      <c r="B35" s="5" t="str">
        <f>IFERROR(__xludf.DUMMYFUNCTION("""COMPUTED_VALUE"""),"NAV")</f>
        <v>NAV</v>
      </c>
      <c r="C35" s="5" t="str">
        <f>IFERROR(__xludf.DUMMYFUNCTION("""COMPUTED_VALUE"""),"Espen Schei")</f>
        <v>Espen Schei</v>
      </c>
      <c r="D35" s="5" t="str">
        <f>IFERROR(__xludf.DUMMYFUNCTION("""COMPUTED_VALUE"""),"#N/A")</f>
        <v>#N/A</v>
      </c>
      <c r="E35" s="5">
        <f>IFERROR(__xludf.DUMMYFUNCTION("""COMPUTED_VALUE"""),6.0)</f>
        <v>6</v>
      </c>
      <c r="F35" s="5" t="str">
        <f>IFERROR(__xludf.DUMMYFUNCTION("""COMPUTED_VALUE"""),"Espen utfører arbeidet på en svært god måte. Han er fremoverlent, løsningsorientert, proaktiv og ikke minst, leverer svært høy kvalitet. Han er en viktig driver i teamet og en viktig nøkkelperson for mange av våre problemstillinger. ")</f>
        <v>Espen utfører arbeidet på en svært god måte. Han er fremoverlent, løsningsorientert, proaktiv og ikke minst, leverer svært høy kvalitet. Han er en viktig driver i teamet og en viktig nøkkelperson for mange av våre problemstillinger. </v>
      </c>
      <c r="G35" s="5">
        <f>IFERROR(__xludf.DUMMYFUNCTION("""COMPUTED_VALUE"""),6.0)</f>
        <v>6</v>
      </c>
      <c r="H35" s="5" t="str">
        <f>IFERROR(__xludf.DUMMYFUNCTION("""COMPUTED_VALUE"""),"Jeg opplever at han har kompetansen vi trenger for at han skal utføre oppdraget, og de riktige egenskapene til å sette seg inn i bredden og kompleksiteten i faget vi har som oppdrag å levere på. ")</f>
        <v>Jeg opplever at han har kompetansen vi trenger for at han skal utføre oppdraget, og de riktige egenskapene til å sette seg inn i bredden og kompleksiteten i faget vi har som oppdrag å levere på. </v>
      </c>
      <c r="I35" s="5">
        <f>IFERROR(__xludf.DUMMYFUNCTION("""COMPUTED_VALUE"""),6.0)</f>
        <v>6</v>
      </c>
      <c r="J35" s="5" t="str">
        <f>IFERROR(__xludf.DUMMYFUNCTION("""COMPUTED_VALUE"""),"Jeg opplever at Espen deler, diskuter og reflekterer godt over valgt om løsninger og deler det aktivt med teamet. ")</f>
        <v>Jeg opplever at Espen deler, diskuter og reflekterer godt over valgt om løsninger og deler det aktivt med teamet. </v>
      </c>
      <c r="K35" s="5">
        <f>IFERROR(__xludf.DUMMYFUNCTION("""COMPUTED_VALUE"""),6.0)</f>
        <v>6</v>
      </c>
      <c r="L35" s="5" t="str">
        <f>IFERROR(__xludf.DUMMYFUNCTION("""COMPUTED_VALUE"""),"Jeg opplever at vi har en god og åpen dialog, og at samarbeidet fungerer godt. Espen er enkel å prate med og gjør seg noen gode betrakninger når vi diskuterer arbeidet. ")</f>
        <v>Jeg opplever at vi har en god og åpen dialog, og at samarbeidet fungerer godt. Espen er enkel å prate med og gjør seg noen gode betrakninger når vi diskuterer arbeidet. </v>
      </c>
      <c r="M35" s="5"/>
      <c r="N35" s="5" t="str">
        <f>IFERROR(__xludf.DUMMYFUNCTION("""COMPUTED_VALUE"""),"-")</f>
        <v>-</v>
      </c>
      <c r="O35" s="5">
        <f>IFERROR(__xludf.DUMMYFUNCTION("""COMPUTED_VALUE"""),6.0)</f>
        <v>6</v>
      </c>
      <c r="P35" s="5" t="str">
        <f>IFERROR(__xludf.DUMMYFUNCTION("""COMPUTED_VALUE"""),"Espen er en av våre viktigste pådrivere og har bidratt utrolig mye for at vi skal komme i mål med oppdraget (reform) vårt innen deadline. ")</f>
        <v>Espen er en av våre viktigste pådrivere og har bidratt utrolig mye for at vi skal komme i mål med oppdraget (reform) vårt innen deadline. </v>
      </c>
      <c r="Q35" s="5" t="str">
        <f>IFERROR(__xludf.DUMMYFUNCTION("""COMPUTED_VALUE"""),"-")</f>
        <v>-</v>
      </c>
    </row>
    <row r="36">
      <c r="A36" s="11">
        <f>IFERROR(__xludf.DUMMYFUNCTION("""COMPUTED_VALUE"""),45238.426250000004)</f>
        <v>45238.42625</v>
      </c>
      <c r="B36" s="5" t="str">
        <f>IFERROR(__xludf.DUMMYFUNCTION("""COMPUTED_VALUE"""),"NAV")</f>
        <v>NAV</v>
      </c>
      <c r="C36" s="5" t="str">
        <f>IFERROR(__xludf.DUMMYFUNCTION("""COMPUTED_VALUE"""),"Anton Fofanov")</f>
        <v>Anton Fofanov</v>
      </c>
      <c r="D36" s="5" t="str">
        <f>IFERROR(__xludf.DUMMYFUNCTION("""COMPUTED_VALUE"""),"#N/A")</f>
        <v>#N/A</v>
      </c>
      <c r="E36" s="5">
        <f>IFERROR(__xludf.DUMMYFUNCTION("""COMPUTED_VALUE"""),6.0)</f>
        <v>6</v>
      </c>
      <c r="F36" s="5" t="str">
        <f>IFERROR(__xludf.DUMMYFUNCTION("""COMPUTED_VALUE"""),"-")</f>
        <v>-</v>
      </c>
      <c r="G36" s="5">
        <f>IFERROR(__xludf.DUMMYFUNCTION("""COMPUTED_VALUE"""),6.0)</f>
        <v>6</v>
      </c>
      <c r="H36" s="5" t="str">
        <f>IFERROR(__xludf.DUMMYFUNCTION("""COMPUTED_VALUE"""),"Anton har god kompetanse og leverer godt på alle områder. Hvis han får en vanskelig problemstilling så er han god på å tilegne seg kompetanse på teknologien og domenet og får arbeidet godt utført.")</f>
        <v>Anton har god kompetanse og leverer godt på alle områder. Hvis han får en vanskelig problemstilling så er han god på å tilegne seg kompetanse på teknologien og domenet og får arbeidet godt utført.</v>
      </c>
      <c r="I36" s="5">
        <f>IFERROR(__xludf.DUMMYFUNCTION("""COMPUTED_VALUE"""),5.0)</f>
        <v>5</v>
      </c>
      <c r="J36" s="5" t="str">
        <f>IFERROR(__xludf.DUMMYFUNCTION("""COMPUTED_VALUE"""),"Anton er god på å diskutere samt dele kompetanse i sitt team og i organisasjonen.")</f>
        <v>Anton er god på å diskutere samt dele kompetanse i sitt team og i organisasjonen.</v>
      </c>
      <c r="K36" s="5">
        <f>IFERROR(__xludf.DUMMYFUNCTION("""COMPUTED_VALUE"""),6.0)</f>
        <v>6</v>
      </c>
      <c r="L36" s="5" t="str">
        <f>IFERROR(__xludf.DUMMYFUNCTION("""COMPUTED_VALUE"""),"-")</f>
        <v>-</v>
      </c>
      <c r="M36" s="5"/>
      <c r="N36" s="5" t="str">
        <f>IFERROR(__xludf.DUMMYFUNCTION("""COMPUTED_VALUE"""),"-")</f>
        <v>-</v>
      </c>
      <c r="O36" s="5">
        <f>IFERROR(__xludf.DUMMYFUNCTION("""COMPUTED_VALUE"""),5.0)</f>
        <v>5</v>
      </c>
      <c r="P36" s="5" t="str">
        <f>IFERROR(__xludf.DUMMYFUNCTION("""COMPUTED_VALUE"""),"Konsulenter er dyrt, men Anton har levert godt på alle arbeidsoppgaver han har fått.")</f>
        <v>Konsulenter er dyrt, men Anton har levert godt på alle arbeidsoppgaver han har fått.</v>
      </c>
      <c r="Q36" s="5" t="str">
        <f>IFERROR(__xludf.DUMMYFUNCTION("""COMPUTED_VALUE"""),"-")</f>
        <v>-</v>
      </c>
    </row>
    <row r="37">
      <c r="A37" s="11">
        <f>IFERROR(__xludf.DUMMYFUNCTION("""COMPUTED_VALUE"""),45208.51293981481)</f>
        <v>45208.51294</v>
      </c>
      <c r="B37" s="5" t="str">
        <f>IFERROR(__xludf.DUMMYFUNCTION("""COMPUTED_VALUE"""),"Statnett")</f>
        <v>Statnett</v>
      </c>
      <c r="C37" s="5" t="str">
        <f>IFERROR(__xludf.DUMMYFUNCTION("""COMPUTED_VALUE"""),"Dejan Maric")</f>
        <v>Dejan Maric</v>
      </c>
      <c r="D37" s="5" t="str">
        <f>IFERROR(__xludf.DUMMYFUNCTION("""COMPUTED_VALUE"""),"#N/A")</f>
        <v>#N/A</v>
      </c>
      <c r="E37" s="5">
        <f>IFERROR(__xludf.DUMMYFUNCTION("""COMPUTED_VALUE"""),6.0)</f>
        <v>6</v>
      </c>
      <c r="F37" s="5" t="str">
        <f>IFERROR(__xludf.DUMMYFUNCTION("""COMPUTED_VALUE"""),"-")</f>
        <v>-</v>
      </c>
      <c r="G37" s="5">
        <f>IFERROR(__xludf.DUMMYFUNCTION("""COMPUTED_VALUE"""),6.0)</f>
        <v>6</v>
      </c>
      <c r="H37" s="5" t="str">
        <f>IFERROR(__xludf.DUMMYFUNCTION("""COMPUTED_VALUE"""),"-")</f>
        <v>-</v>
      </c>
      <c r="I37" s="5">
        <f>IFERROR(__xludf.DUMMYFUNCTION("""COMPUTED_VALUE"""),6.0)</f>
        <v>6</v>
      </c>
      <c r="J37" s="5" t="str">
        <f>IFERROR(__xludf.DUMMYFUNCTION("""COMPUTED_VALUE"""),"-")</f>
        <v>-</v>
      </c>
      <c r="K37" s="5">
        <f>IFERROR(__xludf.DUMMYFUNCTION("""COMPUTED_VALUE"""),6.0)</f>
        <v>6</v>
      </c>
      <c r="L37" s="5" t="str">
        <f>IFERROR(__xludf.DUMMYFUNCTION("""COMPUTED_VALUE"""),"-")</f>
        <v>-</v>
      </c>
      <c r="M37" s="5"/>
      <c r="N37" s="5" t="str">
        <f>IFERROR(__xludf.DUMMYFUNCTION("""COMPUTED_VALUE"""),"-")</f>
        <v>-</v>
      </c>
      <c r="O37" s="5">
        <f>IFERROR(__xludf.DUMMYFUNCTION("""COMPUTED_VALUE"""),5.0)</f>
        <v>5</v>
      </c>
      <c r="P37" s="5" t="str">
        <f>IFERROR(__xludf.DUMMYFUNCTION("""COMPUTED_VALUE"""),"-")</f>
        <v>-</v>
      </c>
      <c r="Q37" s="5" t="str">
        <f>IFERROR(__xludf.DUMMYFUNCTION("""COMPUTED_VALUE"""),"-")</f>
        <v>-</v>
      </c>
    </row>
    <row r="38">
      <c r="A38" s="11">
        <f>IFERROR(__xludf.DUMMYFUNCTION("""COMPUTED_VALUE"""),45209.45471064815)</f>
        <v>45209.45471</v>
      </c>
      <c r="B38" s="5" t="str">
        <f>IFERROR(__xludf.DUMMYFUNCTION("""COMPUTED_VALUE"""),"NRK")</f>
        <v>NRK</v>
      </c>
      <c r="C38" s="5" t="str">
        <f>IFERROR(__xludf.DUMMYFUNCTION("""COMPUTED_VALUE"""),"Audun Småge")</f>
        <v>Audun Småge</v>
      </c>
      <c r="D38" s="5" t="str">
        <f>IFERROR(__xludf.DUMMYFUNCTION("""COMPUTED_VALUE"""),"#N/A")</f>
        <v>#N/A</v>
      </c>
      <c r="E38" s="5">
        <f>IFERROR(__xludf.DUMMYFUNCTION("""COMPUTED_VALUE"""),6.0)</f>
        <v>6</v>
      </c>
      <c r="F38" s="5" t="str">
        <f>IFERROR(__xludf.DUMMYFUNCTION("""COMPUTED_VALUE"""),"hyggelig å jobbe med, flink i de han gjør, viser at han bryr seg om å lage best mulig løsning for NRK. Ressurs og støttespiller inn i teamet som nå har en rekke nye ansatte. Hyggelig, rolig og omgjengelig. ")</f>
        <v>hyggelig å jobbe med, flink i de han gjør, viser at han bryr seg om å lage best mulig løsning for NRK. Ressurs og støttespiller inn i teamet som nå har en rekke nye ansatte. Hyggelig, rolig og omgjengelig. </v>
      </c>
      <c r="G38" s="5">
        <f>IFERROR(__xludf.DUMMYFUNCTION("""COMPUTED_VALUE"""),6.0)</f>
        <v>6</v>
      </c>
      <c r="H38" s="5" t="str">
        <f>IFERROR(__xludf.DUMMYFUNCTION("""COMPUTED_VALUE"""),"han har absolutt riktig kompetanse for dette teamet, og vil bli savnet når han forsvinner til andre kunder")</f>
        <v>han har absolutt riktig kompetanse for dette teamet, og vil bli savnet når han forsvinner til andre kunder</v>
      </c>
      <c r="I38" s="5">
        <f>IFERROR(__xludf.DUMMYFUNCTION("""COMPUTED_VALUE"""),6.0)</f>
        <v>6</v>
      </c>
      <c r="J38" s="5" t="str">
        <f>IFERROR(__xludf.DUMMYFUNCTION("""COMPUTED_VALUE"""),"deler kompetanse både i møter, i diskusjoner, gjennom codereview og eller der det er naturlig. Lett å spørre om hjelp. ")</f>
        <v>deler kompetanse både i møter, i diskusjoner, gjennom codereview og eller der det er naturlig. Lett å spørre om hjelp. </v>
      </c>
      <c r="K38" s="5">
        <f>IFERROR(__xludf.DUMMYFUNCTION("""COMPUTED_VALUE"""),6.0)</f>
        <v>6</v>
      </c>
      <c r="L38" s="5" t="str">
        <f>IFERROR(__xludf.DUMMYFUNCTION("""COMPUTED_VALUE"""),"velig fornøyd! ")</f>
        <v>velig fornøyd! </v>
      </c>
      <c r="M38" s="5"/>
      <c r="N38" s="5" t="str">
        <f>IFERROR(__xludf.DUMMYFUNCTION("""COMPUTED_VALUE"""),"-")</f>
        <v>-</v>
      </c>
      <c r="O38" s="5">
        <f>IFERROR(__xludf.DUMMYFUNCTION("""COMPUTED_VALUE"""),6.0)</f>
        <v>6</v>
      </c>
      <c r="P38" s="5" t="str">
        <f>IFERROR(__xludf.DUMMYFUNCTION("""COMPUTED_VALUE"""),"-")</f>
        <v>-</v>
      </c>
      <c r="Q38" s="5" t="str">
        <f>IFERROR(__xludf.DUMMYFUNCTION("""COMPUTED_VALUE"""),"-")</f>
        <v>-</v>
      </c>
    </row>
    <row r="39">
      <c r="A39" s="11">
        <f>IFERROR(__xludf.DUMMYFUNCTION("""COMPUTED_VALUE"""),45209.55348379629)</f>
        <v>45209.55348</v>
      </c>
      <c r="B39" s="5" t="str">
        <f>IFERROR(__xludf.DUMMYFUNCTION("""COMPUTED_VALUE"""),"NRK")</f>
        <v>NRK</v>
      </c>
      <c r="C39" s="5" t="str">
        <f>IFERROR(__xludf.DUMMYFUNCTION("""COMPUTED_VALUE"""),"Christian Wiik")</f>
        <v>Christian Wiik</v>
      </c>
      <c r="D39" s="5" t="str">
        <f>IFERROR(__xludf.DUMMYFUNCTION("""COMPUTED_VALUE"""),"#N/A")</f>
        <v>#N/A</v>
      </c>
      <c r="E39" s="5">
        <f>IFERROR(__xludf.DUMMYFUNCTION("""COMPUTED_VALUE"""),6.0)</f>
        <v>6</v>
      </c>
      <c r="F39" s="5" t="str">
        <f>IFERROR(__xludf.DUMMYFUNCTION("""COMPUTED_VALUE"""),"veldig fornøyd med utført arbeid og med konsulenten. Han tar ansvar, er en viktig spiller i teamet, sier fra dersom det er noe som kan forbedres, kjenner god til løsningen og er en meget viktig person for teamet og NRK")</f>
        <v>veldig fornøyd med utført arbeid og med konsulenten. Han tar ansvar, er en viktig spiller i teamet, sier fra dersom det er noe som kan forbedres, kjenner god til løsningen og er en meget viktig person for teamet og NRK</v>
      </c>
      <c r="G39" s="5">
        <f>IFERROR(__xludf.DUMMYFUNCTION("""COMPUTED_VALUE"""),6.0)</f>
        <v>6</v>
      </c>
      <c r="H39" s="5" t="str">
        <f>IFERROR(__xludf.DUMMYFUNCTION("""COMPUTED_VALUE"""),"Absolutt nødvendig kompetanse og er en ressurs i teamet - spesielt nå når vi har flere nye i teamet")</f>
        <v>Absolutt nødvendig kompetanse og er en ressurs i teamet - spesielt nå når vi har flere nye i teamet</v>
      </c>
      <c r="I39" s="5">
        <f>IFERROR(__xludf.DUMMYFUNCTION("""COMPUTED_VALUE"""),6.0)</f>
        <v>6</v>
      </c>
      <c r="J39" s="5" t="str">
        <f>IFERROR(__xludf.DUMMYFUNCTION("""COMPUTED_VALUE"""),"god på å dele kompetanse, enten en-til-en, i parprogrammering, eller i større fora. Skal nå også dele større ting vi har gjort i teamet med hele teknologidivisjonen i NRK. ")</f>
        <v>god på å dele kompetanse, enten en-til-en, i parprogrammering, eller i større fora. Skal nå også dele større ting vi har gjort i teamet med hele teknologidivisjonen i NRK. </v>
      </c>
      <c r="K39" s="5">
        <f>IFERROR(__xludf.DUMMYFUNCTION("""COMPUTED_VALUE"""),6.0)</f>
        <v>6</v>
      </c>
      <c r="L39" s="5" t="str">
        <f>IFERROR(__xludf.DUMMYFUNCTION("""COMPUTED_VALUE"""),"Meget fornøyd med det generelle arbeidet og alt i alt innstillingen til Christian. Han blir savnet når han en dag går videre til neste oppdrag. ")</f>
        <v>Meget fornøyd med det generelle arbeidet og alt i alt innstillingen til Christian. Han blir savnet når han en dag går videre til neste oppdrag. </v>
      </c>
      <c r="M39" s="5"/>
      <c r="N39" s="5" t="str">
        <f>IFERROR(__xludf.DUMMYFUNCTION("""COMPUTED_VALUE"""),"-")</f>
        <v>-</v>
      </c>
      <c r="O39" s="5">
        <f>IFERROR(__xludf.DUMMYFUNCTION("""COMPUTED_VALUE"""),6.0)</f>
        <v>6</v>
      </c>
      <c r="P39" s="5" t="str">
        <f>IFERROR(__xludf.DUMMYFUNCTION("""COMPUTED_VALUE"""),"-")</f>
        <v>-</v>
      </c>
      <c r="Q39" s="5" t="str">
        <f>IFERROR(__xludf.DUMMYFUNCTION("""COMPUTED_VALUE"""),"-")</f>
        <v>-</v>
      </c>
    </row>
    <row r="40">
      <c r="A40" s="11">
        <f>IFERROR(__xludf.DUMMYFUNCTION("""COMPUTED_VALUE"""),45210.44626157408)</f>
        <v>45210.44626</v>
      </c>
      <c r="B40" s="5" t="str">
        <f>IFERROR(__xludf.DUMMYFUNCTION("""COMPUTED_VALUE"""),"Digitaliseringsdirektoratet")</f>
        <v>Digitaliseringsdirektoratet</v>
      </c>
      <c r="C40" s="5" t="str">
        <f>IFERROR(__xludf.DUMMYFUNCTION("""COMPUTED_VALUE"""),"Anne Marte Hjemås")</f>
        <v>Anne Marte Hjemås</v>
      </c>
      <c r="D40" s="5" t="str">
        <f>IFERROR(__xludf.DUMMYFUNCTION("""COMPUTED_VALUE"""),"#N/A")</f>
        <v>#N/A</v>
      </c>
      <c r="E40" s="5">
        <f>IFERROR(__xludf.DUMMYFUNCTION("""COMPUTED_VALUE"""),6.0)</f>
        <v>6</v>
      </c>
      <c r="F40" s="5" t="str">
        <f>IFERROR(__xludf.DUMMYFUNCTION("""COMPUTED_VALUE"""),"-")</f>
        <v>-</v>
      </c>
      <c r="G40" s="5">
        <f>IFERROR(__xludf.DUMMYFUNCTION("""COMPUTED_VALUE"""),6.0)</f>
        <v>6</v>
      </c>
      <c r="H40" s="5" t="str">
        <f>IFERROR(__xludf.DUMMYFUNCTION("""COMPUTED_VALUE"""),"-")</f>
        <v>-</v>
      </c>
      <c r="I40" s="5">
        <f>IFERROR(__xludf.DUMMYFUNCTION("""COMPUTED_VALUE"""),5.0)</f>
        <v>5</v>
      </c>
      <c r="J40" s="5" t="str">
        <f>IFERROR(__xludf.DUMMYFUNCTION("""COMPUTED_VALUE"""),"-")</f>
        <v>-</v>
      </c>
      <c r="K40" s="5">
        <f>IFERROR(__xludf.DUMMYFUNCTION("""COMPUTED_VALUE"""),6.0)</f>
        <v>6</v>
      </c>
      <c r="L40" s="5" t="str">
        <f>IFERROR(__xludf.DUMMYFUNCTION("""COMPUTED_VALUE"""),"-")</f>
        <v>-</v>
      </c>
      <c r="M40" s="5">
        <f>IFERROR(__xludf.DUMMYFUNCTION("""COMPUTED_VALUE"""),4.0)</f>
        <v>4</v>
      </c>
      <c r="N40" s="5" t="str">
        <f>IFERROR(__xludf.DUMMYFUNCTION("""COMPUTED_VALUE"""),"-")</f>
        <v>-</v>
      </c>
      <c r="O40" s="5">
        <f>IFERROR(__xludf.DUMMYFUNCTION("""COMPUTED_VALUE"""),4.0)</f>
        <v>4</v>
      </c>
      <c r="P40" s="5" t="str">
        <f>IFERROR(__xludf.DUMMYFUNCTION("""COMPUTED_VALUE"""),"-")</f>
        <v>-</v>
      </c>
      <c r="Q40" s="5" t="str">
        <f>IFERROR(__xludf.DUMMYFUNCTION("""COMPUTED_VALUE"""),"-")</f>
        <v>-</v>
      </c>
    </row>
    <row r="41">
      <c r="A41" s="11">
        <f>IFERROR(__xludf.DUMMYFUNCTION("""COMPUTED_VALUE"""),45210.44708333333)</f>
        <v>45210.44708</v>
      </c>
      <c r="B41" s="5" t="str">
        <f>IFERROR(__xludf.DUMMYFUNCTION("""COMPUTED_VALUE"""),"Digitaliseringsdirektoratet")</f>
        <v>Digitaliseringsdirektoratet</v>
      </c>
      <c r="C41" s="5" t="str">
        <f>IFERROR(__xludf.DUMMYFUNCTION("""COMPUTED_VALUE"""),"Frode Bjerkholt")</f>
        <v>Frode Bjerkholt</v>
      </c>
      <c r="D41" s="5" t="str">
        <f>IFERROR(__xludf.DUMMYFUNCTION("""COMPUTED_VALUE"""),"#N/A")</f>
        <v>#N/A</v>
      </c>
      <c r="E41" s="5">
        <f>IFERROR(__xludf.DUMMYFUNCTION("""COMPUTED_VALUE"""),6.0)</f>
        <v>6</v>
      </c>
      <c r="F41" s="5" t="str">
        <f>IFERROR(__xludf.DUMMYFUNCTION("""COMPUTED_VALUE"""),"-")</f>
        <v>-</v>
      </c>
      <c r="G41" s="5">
        <f>IFERROR(__xludf.DUMMYFUNCTION("""COMPUTED_VALUE"""),6.0)</f>
        <v>6</v>
      </c>
      <c r="H41" s="5" t="str">
        <f>IFERROR(__xludf.DUMMYFUNCTION("""COMPUTED_VALUE"""),"-")</f>
        <v>-</v>
      </c>
      <c r="I41" s="5">
        <f>IFERROR(__xludf.DUMMYFUNCTION("""COMPUTED_VALUE"""),5.0)</f>
        <v>5</v>
      </c>
      <c r="J41" s="5" t="str">
        <f>IFERROR(__xludf.DUMMYFUNCTION("""COMPUTED_VALUE"""),"-")</f>
        <v>-</v>
      </c>
      <c r="K41" s="5">
        <f>IFERROR(__xludf.DUMMYFUNCTION("""COMPUTED_VALUE"""),5.0)</f>
        <v>5</v>
      </c>
      <c r="L41" s="5" t="str">
        <f>IFERROR(__xludf.DUMMYFUNCTION("""COMPUTED_VALUE"""),"-")</f>
        <v>-</v>
      </c>
      <c r="M41" s="5">
        <f>IFERROR(__xludf.DUMMYFUNCTION("""COMPUTED_VALUE"""),4.0)</f>
        <v>4</v>
      </c>
      <c r="N41" s="5" t="str">
        <f>IFERROR(__xludf.DUMMYFUNCTION("""COMPUTED_VALUE"""),"-")</f>
        <v>-</v>
      </c>
      <c r="O41" s="5">
        <f>IFERROR(__xludf.DUMMYFUNCTION("""COMPUTED_VALUE"""),4.0)</f>
        <v>4</v>
      </c>
      <c r="P41" s="5" t="str">
        <f>IFERROR(__xludf.DUMMYFUNCTION("""COMPUTED_VALUE"""),"-")</f>
        <v>-</v>
      </c>
      <c r="Q41" s="5" t="str">
        <f>IFERROR(__xludf.DUMMYFUNCTION("""COMPUTED_VALUE"""),"-")</f>
        <v>-</v>
      </c>
    </row>
    <row r="42">
      <c r="A42" s="11">
        <f>IFERROR(__xludf.DUMMYFUNCTION("""COMPUTED_VALUE"""),45210.44766203704)</f>
        <v>45210.44766</v>
      </c>
      <c r="B42" s="5" t="str">
        <f>IFERROR(__xludf.DUMMYFUNCTION("""COMPUTED_VALUE"""),"Digitaliseringsdirektoratet")</f>
        <v>Digitaliseringsdirektoratet</v>
      </c>
      <c r="C42" s="5" t="str">
        <f>IFERROR(__xludf.DUMMYFUNCTION("""COMPUTED_VALUE"""),"Aase Mestad")</f>
        <v>Aase Mestad</v>
      </c>
      <c r="D42" s="5" t="str">
        <f>IFERROR(__xludf.DUMMYFUNCTION("""COMPUTED_VALUE"""),"#N/A")</f>
        <v>#N/A</v>
      </c>
      <c r="E42" s="5">
        <f>IFERROR(__xludf.DUMMYFUNCTION("""COMPUTED_VALUE"""),5.0)</f>
        <v>5</v>
      </c>
      <c r="F42" s="5" t="str">
        <f>IFERROR(__xludf.DUMMYFUNCTION("""COMPUTED_VALUE"""),"-")</f>
        <v>-</v>
      </c>
      <c r="G42" s="5">
        <f>IFERROR(__xludf.DUMMYFUNCTION("""COMPUTED_VALUE"""),5.0)</f>
        <v>5</v>
      </c>
      <c r="H42" s="5" t="str">
        <f>IFERROR(__xludf.DUMMYFUNCTION("""COMPUTED_VALUE"""),"-")</f>
        <v>-</v>
      </c>
      <c r="I42" s="5">
        <f>IFERROR(__xludf.DUMMYFUNCTION("""COMPUTED_VALUE"""),5.0)</f>
        <v>5</v>
      </c>
      <c r="J42" s="5" t="str">
        <f>IFERROR(__xludf.DUMMYFUNCTION("""COMPUTED_VALUE"""),"-")</f>
        <v>-</v>
      </c>
      <c r="K42" s="5">
        <f>IFERROR(__xludf.DUMMYFUNCTION("""COMPUTED_VALUE"""),6.0)</f>
        <v>6</v>
      </c>
      <c r="L42" s="5" t="str">
        <f>IFERROR(__xludf.DUMMYFUNCTION("""COMPUTED_VALUE"""),"-")</f>
        <v>-</v>
      </c>
      <c r="M42" s="5">
        <f>IFERROR(__xludf.DUMMYFUNCTION("""COMPUTED_VALUE"""),4.0)</f>
        <v>4</v>
      </c>
      <c r="N42" s="5" t="str">
        <f>IFERROR(__xludf.DUMMYFUNCTION("""COMPUTED_VALUE"""),"-")</f>
        <v>-</v>
      </c>
      <c r="O42" s="5">
        <f>IFERROR(__xludf.DUMMYFUNCTION("""COMPUTED_VALUE"""),4.0)</f>
        <v>4</v>
      </c>
      <c r="P42" s="5" t="str">
        <f>IFERROR(__xludf.DUMMYFUNCTION("""COMPUTED_VALUE"""),"-")</f>
        <v>-</v>
      </c>
      <c r="Q42" s="5" t="str">
        <f>IFERROR(__xludf.DUMMYFUNCTION("""COMPUTED_VALUE"""),"-")</f>
        <v>-</v>
      </c>
    </row>
    <row r="43">
      <c r="A43" s="11">
        <f>IFERROR(__xludf.DUMMYFUNCTION("""COMPUTED_VALUE"""),45210.4483912037)</f>
        <v>45210.44839</v>
      </c>
      <c r="B43" s="5" t="str">
        <f>IFERROR(__xludf.DUMMYFUNCTION("""COMPUTED_VALUE"""),"Digitaliseringsdirektoratet")</f>
        <v>Digitaliseringsdirektoratet</v>
      </c>
      <c r="C43" s="5" t="str">
        <f>IFERROR(__xludf.DUMMYFUNCTION("""COMPUTED_VALUE"""),"Bjørn Aron Josefsen")</f>
        <v>Bjørn Aron Josefsen</v>
      </c>
      <c r="D43" s="5" t="str">
        <f>IFERROR(__xludf.DUMMYFUNCTION("""COMPUTED_VALUE"""),"#N/A")</f>
        <v>#N/A</v>
      </c>
      <c r="E43" s="5">
        <f>IFERROR(__xludf.DUMMYFUNCTION("""COMPUTED_VALUE"""),4.0)</f>
        <v>4</v>
      </c>
      <c r="F43" s="5" t="str">
        <f>IFERROR(__xludf.DUMMYFUNCTION("""COMPUTED_VALUE"""),"Høg kvalitet, men utfordrande samhandling. Kjent og akseptert")</f>
        <v>Høg kvalitet, men utfordrande samhandling. Kjent og akseptert</v>
      </c>
      <c r="G43" s="5">
        <f>IFERROR(__xludf.DUMMYFUNCTION("""COMPUTED_VALUE"""),5.0)</f>
        <v>5</v>
      </c>
      <c r="H43" s="5" t="str">
        <f>IFERROR(__xludf.DUMMYFUNCTION("""COMPUTED_VALUE"""),"-")</f>
        <v>-</v>
      </c>
      <c r="I43" s="5">
        <f>IFERROR(__xludf.DUMMYFUNCTION("""COMPUTED_VALUE"""),4.0)</f>
        <v>4</v>
      </c>
      <c r="J43" s="5" t="str">
        <f>IFERROR(__xludf.DUMMYFUNCTION("""COMPUTED_VALUE"""),"-")</f>
        <v>-</v>
      </c>
      <c r="K43" s="5">
        <f>IFERROR(__xludf.DUMMYFUNCTION("""COMPUTED_VALUE"""),4.0)</f>
        <v>4</v>
      </c>
      <c r="L43" s="5" t="str">
        <f>IFERROR(__xludf.DUMMYFUNCTION("""COMPUTED_VALUE"""),"-")</f>
        <v>-</v>
      </c>
      <c r="M43" s="5">
        <f>IFERROR(__xludf.DUMMYFUNCTION("""COMPUTED_VALUE"""),4.0)</f>
        <v>4</v>
      </c>
      <c r="N43" s="5" t="str">
        <f>IFERROR(__xludf.DUMMYFUNCTION("""COMPUTED_VALUE"""),"-")</f>
        <v>-</v>
      </c>
      <c r="O43" s="5">
        <f>IFERROR(__xludf.DUMMYFUNCTION("""COMPUTED_VALUE"""),2.0)</f>
        <v>2</v>
      </c>
      <c r="P43" s="5" t="str">
        <f>IFERROR(__xludf.DUMMYFUNCTION("""COMPUTED_VALUE"""),"-")</f>
        <v>-</v>
      </c>
      <c r="Q43" s="5" t="str">
        <f>IFERROR(__xludf.DUMMYFUNCTION("""COMPUTED_VALUE"""),"-")</f>
        <v>-</v>
      </c>
    </row>
    <row r="44">
      <c r="A44" s="11">
        <f>IFERROR(__xludf.DUMMYFUNCTION("""COMPUTED_VALUE"""),45210.60068287037)</f>
        <v>45210.60068</v>
      </c>
      <c r="B44" s="5" t="str">
        <f>IFERROR(__xludf.DUMMYFUNCTION("""COMPUTED_VALUE"""),"Politiet")</f>
        <v>Politiet</v>
      </c>
      <c r="C44" s="5" t="str">
        <f>IFERROR(__xludf.DUMMYFUNCTION("""COMPUTED_VALUE"""),"Frode Rystad")</f>
        <v>Frode Rystad</v>
      </c>
      <c r="D44" s="5" t="str">
        <f>IFERROR(__xludf.DUMMYFUNCTION("""COMPUTED_VALUE"""),"#N/A")</f>
        <v>#N/A</v>
      </c>
      <c r="E44" s="5">
        <f>IFERROR(__xludf.DUMMYFUNCTION("""COMPUTED_VALUE"""),6.0)</f>
        <v>6</v>
      </c>
      <c r="F44" s="5" t="str">
        <f>IFERROR(__xludf.DUMMYFUNCTION("""COMPUTED_VALUE"""),"Frode tar tak i nye oppgaver med stor iver. Han involverer andre i teamet i sine oppgaver ved behov og deler av sin kompetanse slik at andre i teamet har fremdrift. Videre bidrar Frode i forbedringer i hvordan teamet jobber med utvikling/forvaltning av ko"&amp;"de.")</f>
        <v>Frode tar tak i nye oppgaver med stor iver. Han involverer andre i teamet i sine oppgaver ved behov og deler av sin kompetanse slik at andre i teamet har fremdrift. Videre bidrar Frode i forbedringer i hvordan teamet jobber med utvikling/forvaltning av kode.</v>
      </c>
      <c r="G44" s="5">
        <f>IFERROR(__xludf.DUMMYFUNCTION("""COMPUTED_VALUE"""),6.0)</f>
        <v>6</v>
      </c>
      <c r="H44" s="5" t="str">
        <f>IFERROR(__xludf.DUMMYFUNCTION("""COMPUTED_VALUE"""),"Frode har kompetansen vi trenger.")</f>
        <v>Frode har kompetansen vi trenger.</v>
      </c>
      <c r="I44" s="5">
        <f>IFERROR(__xludf.DUMMYFUNCTION("""COMPUTED_VALUE"""),6.0)</f>
        <v>6</v>
      </c>
      <c r="J44" s="5" t="str">
        <f>IFERROR(__xludf.DUMMYFUNCTION("""COMPUTED_VALUE"""),"Frode deler gjerne sin kompetanse i teamet og til andre team.")</f>
        <v>Frode deler gjerne sin kompetanse i teamet og til andre team.</v>
      </c>
      <c r="K44" s="5">
        <f>IFERROR(__xludf.DUMMYFUNCTION("""COMPUTED_VALUE"""),6.0)</f>
        <v>6</v>
      </c>
      <c r="L44" s="5" t="str">
        <f>IFERROR(__xludf.DUMMYFUNCTION("""COMPUTED_VALUE"""),"Frode fungerer veldig bra i teamet og samhandler godt med andre i teamet og med andre team.")</f>
        <v>Frode fungerer veldig bra i teamet og samhandler godt med andre i teamet og med andre team.</v>
      </c>
      <c r="M44" s="5"/>
      <c r="N44" s="5" t="str">
        <f>IFERROR(__xludf.DUMMYFUNCTION("""COMPUTED_VALUE"""),"-")</f>
        <v>-</v>
      </c>
      <c r="O44" s="5">
        <f>IFERROR(__xludf.DUMMYFUNCTION("""COMPUTED_VALUE"""),4.0)</f>
        <v>4</v>
      </c>
      <c r="P44" s="5" t="str">
        <f>IFERROR(__xludf.DUMMYFUNCTION("""COMPUTED_VALUE"""),"-")</f>
        <v>-</v>
      </c>
      <c r="Q44" s="5" t="str">
        <f>IFERROR(__xludf.DUMMYFUNCTION("""COMPUTED_VALUE"""),"-")</f>
        <v>-</v>
      </c>
    </row>
    <row r="45">
      <c r="A45" s="11">
        <f>IFERROR(__xludf.DUMMYFUNCTION("""COMPUTED_VALUE"""),45210.61046296296)</f>
        <v>45210.61046</v>
      </c>
      <c r="B45" s="5" t="str">
        <f>IFERROR(__xludf.DUMMYFUNCTION("""COMPUTED_VALUE"""),"Politiet")</f>
        <v>Politiet</v>
      </c>
      <c r="C45" s="5" t="str">
        <f>IFERROR(__xludf.DUMMYFUNCTION("""COMPUTED_VALUE"""),"Thomas Hansen")</f>
        <v>Thomas Hansen</v>
      </c>
      <c r="D45" s="5" t="str">
        <f>IFERROR(__xludf.DUMMYFUNCTION("""COMPUTED_VALUE"""),"#N/A")</f>
        <v>#N/A</v>
      </c>
      <c r="E45" s="5">
        <f>IFERROR(__xludf.DUMMYFUNCTION("""COMPUTED_VALUE"""),6.0)</f>
        <v>6</v>
      </c>
      <c r="F45" s="5" t="str">
        <f>IFERROR(__xludf.DUMMYFUNCTION("""COMPUTED_VALUE"""),"-")</f>
        <v>-</v>
      </c>
      <c r="G45" s="5">
        <f>IFERROR(__xludf.DUMMYFUNCTION("""COMPUTED_VALUE"""),6.0)</f>
        <v>6</v>
      </c>
      <c r="H45" s="5" t="str">
        <f>IFERROR(__xludf.DUMMYFUNCTION("""COMPUTED_VALUE"""),"-")</f>
        <v>-</v>
      </c>
      <c r="I45" s="5">
        <f>IFERROR(__xludf.DUMMYFUNCTION("""COMPUTED_VALUE"""),5.0)</f>
        <v>5</v>
      </c>
      <c r="J45" s="5" t="str">
        <f>IFERROR(__xludf.DUMMYFUNCTION("""COMPUTED_VALUE"""),"Skulle ønske han tok noe mer ansvar knyttet til dette som Tech Lead i prosjektet")</f>
        <v>Skulle ønske han tok noe mer ansvar knyttet til dette som Tech Lead i prosjektet</v>
      </c>
      <c r="K45" s="5">
        <f>IFERROR(__xludf.DUMMYFUNCTION("""COMPUTED_VALUE"""),6.0)</f>
        <v>6</v>
      </c>
      <c r="L45" s="5" t="str">
        <f>IFERROR(__xludf.DUMMYFUNCTION("""COMPUTED_VALUE"""),"-")</f>
        <v>-</v>
      </c>
      <c r="M45" s="5"/>
      <c r="N45" s="5" t="str">
        <f>IFERROR(__xludf.DUMMYFUNCTION("""COMPUTED_VALUE"""),"-")</f>
        <v>-</v>
      </c>
      <c r="O45" s="5">
        <f>IFERROR(__xludf.DUMMYFUNCTION("""COMPUTED_VALUE"""),5.0)</f>
        <v>5</v>
      </c>
      <c r="P45" s="5" t="str">
        <f>IFERROR(__xludf.DUMMYFUNCTION("""COMPUTED_VALUE"""),"-")</f>
        <v>-</v>
      </c>
      <c r="Q45" s="5" t="str">
        <f>IFERROR(__xludf.DUMMYFUNCTION("""COMPUTED_VALUE"""),"-")</f>
        <v>-</v>
      </c>
    </row>
    <row r="46">
      <c r="A46" s="11">
        <f>IFERROR(__xludf.DUMMYFUNCTION("""COMPUTED_VALUE"""),45210.609918981485)</f>
        <v>45210.60992</v>
      </c>
      <c r="B46" s="5" t="str">
        <f>IFERROR(__xludf.DUMMYFUNCTION("""COMPUTED_VALUE"""),"Politiet")</f>
        <v>Politiet</v>
      </c>
      <c r="C46" s="5" t="str">
        <f>IFERROR(__xludf.DUMMYFUNCTION("""COMPUTED_VALUE"""),"Georg Lundesgaard")</f>
        <v>Georg Lundesgaard</v>
      </c>
      <c r="D46" s="5" t="str">
        <f>IFERROR(__xludf.DUMMYFUNCTION("""COMPUTED_VALUE"""),"georg@jpro.no")</f>
        <v>georg@jpro.no</v>
      </c>
      <c r="E46" s="5">
        <f>IFERROR(__xludf.DUMMYFUNCTION("""COMPUTED_VALUE"""),6.0)</f>
        <v>6</v>
      </c>
      <c r="F46" s="5" t="str">
        <f>IFERROR(__xludf.DUMMYFUNCTION("""COMPUTED_VALUE"""),"Georg ble satt til en spesifikk produkt/oppgave som følge av sin kompetanse. Denne kompetanse og Georgs generelle kompetanse har og er nyttig for fremdrift på oppgaver i teamet. ")</f>
        <v>Georg ble satt til en spesifikk produkt/oppgave som følge av sin kompetanse. Denne kompetanse og Georgs generelle kompetanse har og er nyttig for fremdrift på oppgaver i teamet. </v>
      </c>
      <c r="G46" s="5">
        <f>IFERROR(__xludf.DUMMYFUNCTION("""COMPUTED_VALUE"""),6.0)</f>
        <v>6</v>
      </c>
      <c r="H46" s="5" t="str">
        <f>IFERROR(__xludf.DUMMYFUNCTION("""COMPUTED_VALUE"""),"Ja, Georg kan teknologien og har kompetanse vi har behov for. ")</f>
        <v>Ja, Georg kan teknologien og har kompetanse vi har behov for. </v>
      </c>
      <c r="I46" s="5">
        <f>IFERROR(__xludf.DUMMYFUNCTION("""COMPUTED_VALUE"""),6.0)</f>
        <v>6</v>
      </c>
      <c r="J46" s="5" t="str">
        <f>IFERROR(__xludf.DUMMYFUNCTION("""COMPUTED_VALUE"""),"Georg bidrar aktivt i diskusjoner og deler sin kompetanse.")</f>
        <v>Georg bidrar aktivt i diskusjoner og deler sin kompetanse.</v>
      </c>
      <c r="K46" s="5">
        <f>IFERROR(__xludf.DUMMYFUNCTION("""COMPUTED_VALUE"""),6.0)</f>
        <v>6</v>
      </c>
      <c r="L46" s="5" t="str">
        <f>IFERROR(__xludf.DUMMYFUNCTION("""COMPUTED_VALUE"""),"Georg fungerer veldig bra i teamet og samhandler godt med andre i teamet.")</f>
        <v>Georg fungerer veldig bra i teamet og samhandler godt med andre i teamet.</v>
      </c>
      <c r="M46" s="5"/>
      <c r="N46" s="5" t="str">
        <f>IFERROR(__xludf.DUMMYFUNCTION("""COMPUTED_VALUE"""),"-")</f>
        <v>-</v>
      </c>
      <c r="O46" s="5">
        <f>IFERROR(__xludf.DUMMYFUNCTION("""COMPUTED_VALUE"""),4.0)</f>
        <v>4</v>
      </c>
      <c r="P46" s="5" t="str">
        <f>IFERROR(__xludf.DUMMYFUNCTION("""COMPUTED_VALUE"""),"-")</f>
        <v>-</v>
      </c>
      <c r="Q46" s="5" t="str">
        <f>IFERROR(__xludf.DUMMYFUNCTION("""COMPUTED_VALUE"""),"-")</f>
        <v>-</v>
      </c>
    </row>
    <row r="47">
      <c r="A47" s="11">
        <f>IFERROR(__xludf.DUMMYFUNCTION("""COMPUTED_VALUE"""),45226.79342592593)</f>
        <v>45226.79343</v>
      </c>
      <c r="B47" s="5" t="str">
        <f>IFERROR(__xludf.DUMMYFUNCTION("""COMPUTED_VALUE"""),"Statnett")</f>
        <v>Statnett</v>
      </c>
      <c r="C47" s="5" t="str">
        <f>IFERROR(__xludf.DUMMYFUNCTION("""COMPUTED_VALUE"""),"Jan Erik Robertsen")</f>
        <v>Jan Erik Robertsen</v>
      </c>
      <c r="D47" s="5" t="str">
        <f>IFERROR(__xludf.DUMMYFUNCTION("""COMPUTED_VALUE"""),"#N/A")</f>
        <v>#N/A</v>
      </c>
      <c r="E47" s="5">
        <f>IFERROR(__xludf.DUMMYFUNCTION("""COMPUTED_VALUE"""),5.0)</f>
        <v>5</v>
      </c>
      <c r="F47" s="5" t="str">
        <f>IFERROR(__xludf.DUMMYFUNCTION("""COMPUTED_VALUE"""),"-")</f>
        <v>-</v>
      </c>
      <c r="G47" s="5">
        <f>IFERROR(__xludf.DUMMYFUNCTION("""COMPUTED_VALUE"""),6.0)</f>
        <v>6</v>
      </c>
      <c r="H47" s="5" t="str">
        <f>IFERROR(__xludf.DUMMYFUNCTION("""COMPUTED_VALUE"""),"-")</f>
        <v>-</v>
      </c>
      <c r="I47" s="5">
        <f>IFERROR(__xludf.DUMMYFUNCTION("""COMPUTED_VALUE"""),6.0)</f>
        <v>6</v>
      </c>
      <c r="J47" s="5" t="str">
        <f>IFERROR(__xludf.DUMMYFUNCTION("""COMPUTED_VALUE"""),"-")</f>
        <v>-</v>
      </c>
      <c r="K47" s="5">
        <f>IFERROR(__xludf.DUMMYFUNCTION("""COMPUTED_VALUE"""),5.0)</f>
        <v>5</v>
      </c>
      <c r="L47" s="5" t="str">
        <f>IFERROR(__xludf.DUMMYFUNCTION("""COMPUTED_VALUE"""),"-")</f>
        <v>-</v>
      </c>
      <c r="M47" s="5">
        <f>IFERROR(__xludf.DUMMYFUNCTION("""COMPUTED_VALUE"""),5.0)</f>
        <v>5</v>
      </c>
      <c r="N47" s="5" t="str">
        <f>IFERROR(__xludf.DUMMYFUNCTION("""COMPUTED_VALUE"""),"-")</f>
        <v>-</v>
      </c>
      <c r="O47" s="5">
        <f>IFERROR(__xludf.DUMMYFUNCTION("""COMPUTED_VALUE"""),4.0)</f>
        <v>4</v>
      </c>
      <c r="P47" s="5" t="str">
        <f>IFERROR(__xludf.DUMMYFUNCTION("""COMPUTED_VALUE"""),"-")</f>
        <v>-</v>
      </c>
      <c r="Q47" s="5" t="str">
        <f>IFERROR(__xludf.DUMMYFUNCTION("""COMPUTED_VALUE"""),"-")</f>
        <v>-</v>
      </c>
    </row>
    <row r="48">
      <c r="A48" s="11">
        <f>IFERROR(__xludf.DUMMYFUNCTION("""COMPUTED_VALUE"""),45226.8190625)</f>
        <v>45226.81906</v>
      </c>
      <c r="B48" s="5" t="str">
        <f>IFERROR(__xludf.DUMMYFUNCTION("""COMPUTED_VALUE"""),"Statnett")</f>
        <v>Statnett</v>
      </c>
      <c r="C48" s="5" t="str">
        <f>IFERROR(__xludf.DUMMYFUNCTION("""COMPUTED_VALUE"""),"Kristian Børresen")</f>
        <v>Kristian Børresen</v>
      </c>
      <c r="D48" s="5" t="str">
        <f>IFERROR(__xludf.DUMMYFUNCTION("""COMPUTED_VALUE"""),"#N/A")</f>
        <v>#N/A</v>
      </c>
      <c r="E48" s="5">
        <f>IFERROR(__xludf.DUMMYFUNCTION("""COMPUTED_VALUE"""),6.0)</f>
        <v>6</v>
      </c>
      <c r="F48" s="5" t="str">
        <f>IFERROR(__xludf.DUMMYFUNCTION("""COMPUTED_VALUE"""),"-")</f>
        <v>-</v>
      </c>
      <c r="G48" s="5">
        <f>IFERROR(__xludf.DUMMYFUNCTION("""COMPUTED_VALUE"""),6.0)</f>
        <v>6</v>
      </c>
      <c r="H48" s="5" t="str">
        <f>IFERROR(__xludf.DUMMYFUNCTION("""COMPUTED_VALUE"""),"-")</f>
        <v>-</v>
      </c>
      <c r="I48" s="5">
        <f>IFERROR(__xludf.DUMMYFUNCTION("""COMPUTED_VALUE"""),5.0)</f>
        <v>5</v>
      </c>
      <c r="J48" s="5" t="str">
        <f>IFERROR(__xludf.DUMMYFUNCTION("""COMPUTED_VALUE"""),"-")</f>
        <v>-</v>
      </c>
      <c r="K48" s="5">
        <f>IFERROR(__xludf.DUMMYFUNCTION("""COMPUTED_VALUE"""),5.0)</f>
        <v>5</v>
      </c>
      <c r="L48" s="5" t="str">
        <f>IFERROR(__xludf.DUMMYFUNCTION("""COMPUTED_VALUE"""),"-")</f>
        <v>-</v>
      </c>
      <c r="M48" s="5">
        <f>IFERROR(__xludf.DUMMYFUNCTION("""COMPUTED_VALUE"""),5.0)</f>
        <v>5</v>
      </c>
      <c r="N48" s="5" t="str">
        <f>IFERROR(__xludf.DUMMYFUNCTION("""COMPUTED_VALUE"""),"-")</f>
        <v>-</v>
      </c>
      <c r="O48" s="5">
        <f>IFERROR(__xludf.DUMMYFUNCTION("""COMPUTED_VALUE"""),4.0)</f>
        <v>4</v>
      </c>
      <c r="P48" s="5" t="str">
        <f>IFERROR(__xludf.DUMMYFUNCTION("""COMPUTED_VALUE"""),"-")</f>
        <v>-</v>
      </c>
      <c r="Q48" s="5" t="str">
        <f>IFERROR(__xludf.DUMMYFUNCTION("""COMPUTED_VALUE"""),"-")</f>
        <v>-</v>
      </c>
    </row>
    <row r="49">
      <c r="A49" s="11">
        <f>IFERROR(__xludf.DUMMYFUNCTION("""COMPUTED_VALUE"""),45229.43701388889)</f>
        <v>45229.43701</v>
      </c>
      <c r="B49" s="5" t="str">
        <f>IFERROR(__xludf.DUMMYFUNCTION("""COMPUTED_VALUE"""),"Lånekassen")</f>
        <v>Lånekassen</v>
      </c>
      <c r="C49" s="5" t="str">
        <f>IFERROR(__xludf.DUMMYFUNCTION("""COMPUTED_VALUE"""),"Petter Ruud")</f>
        <v>Petter Ruud</v>
      </c>
      <c r="D49" s="5" t="str">
        <f>IFERROR(__xludf.DUMMYFUNCTION("""COMPUTED_VALUE"""),"#N/A")</f>
        <v>#N/A</v>
      </c>
      <c r="E49" s="5">
        <f>IFERROR(__xludf.DUMMYFUNCTION("""COMPUTED_VALUE"""),6.0)</f>
        <v>6</v>
      </c>
      <c r="F49" s="5" t="str">
        <f>IFERROR(__xludf.DUMMYFUNCTION("""COMPUTED_VALUE"""),"-")</f>
        <v>-</v>
      </c>
      <c r="G49" s="5">
        <f>IFERROR(__xludf.DUMMYFUNCTION("""COMPUTED_VALUE"""),6.0)</f>
        <v>6</v>
      </c>
      <c r="H49" s="5" t="str">
        <f>IFERROR(__xludf.DUMMYFUNCTION("""COMPUTED_VALUE"""),"-")</f>
        <v>-</v>
      </c>
      <c r="I49" s="5">
        <f>IFERROR(__xludf.DUMMYFUNCTION("""COMPUTED_VALUE"""),6.0)</f>
        <v>6</v>
      </c>
      <c r="J49" s="5" t="str">
        <f>IFERROR(__xludf.DUMMYFUNCTION("""COMPUTED_VALUE"""),"-")</f>
        <v>-</v>
      </c>
      <c r="K49" s="5">
        <f>IFERROR(__xludf.DUMMYFUNCTION("""COMPUTED_VALUE"""),5.0)</f>
        <v>5</v>
      </c>
      <c r="L49" s="5" t="str">
        <f>IFERROR(__xludf.DUMMYFUNCTION("""COMPUTED_VALUE"""),"-")</f>
        <v>-</v>
      </c>
      <c r="M49" s="5"/>
      <c r="N49" s="5" t="str">
        <f>IFERROR(__xludf.DUMMYFUNCTION("""COMPUTED_VALUE"""),"-")</f>
        <v>-</v>
      </c>
      <c r="O49" s="5">
        <f>IFERROR(__xludf.DUMMYFUNCTION("""COMPUTED_VALUE"""),4.0)</f>
        <v>4</v>
      </c>
      <c r="P49" s="5" t="str">
        <f>IFERROR(__xludf.DUMMYFUNCTION("""COMPUTED_VALUE"""),"-")</f>
        <v>-</v>
      </c>
      <c r="Q49" s="5" t="str">
        <f>IFERROR(__xludf.DUMMYFUNCTION("""COMPUTED_VALUE"""),"-")</f>
        <v>-</v>
      </c>
    </row>
    <row r="50">
      <c r="A50" s="11">
        <f>IFERROR(__xludf.DUMMYFUNCTION("""COMPUTED_VALUE"""),45229.45314814815)</f>
        <v>45229.45315</v>
      </c>
      <c r="B50" s="5" t="str">
        <f>IFERROR(__xludf.DUMMYFUNCTION("""COMPUTED_VALUE"""),"Politiet")</f>
        <v>Politiet</v>
      </c>
      <c r="C50" s="5" t="str">
        <f>IFERROR(__xludf.DUMMYFUNCTION("""COMPUTED_VALUE"""),"Hans-Petter Vadseth")</f>
        <v>Hans-Petter Vadseth</v>
      </c>
      <c r="D50" s="5" t="str">
        <f>IFERROR(__xludf.DUMMYFUNCTION("""COMPUTED_VALUE"""),"hp@jpro.no")</f>
        <v>hp@jpro.no</v>
      </c>
      <c r="E50" s="5">
        <f>IFERROR(__xludf.DUMMYFUNCTION("""COMPUTED_VALUE"""),6.0)</f>
        <v>6</v>
      </c>
      <c r="F50" s="5" t="str">
        <f>IFERROR(__xludf.DUMMYFUNCTION("""COMPUTED_VALUE"""),"-")</f>
        <v>-</v>
      </c>
      <c r="G50" s="5">
        <f>IFERROR(__xludf.DUMMYFUNCTION("""COMPUTED_VALUE"""),6.0)</f>
        <v>6</v>
      </c>
      <c r="H50" s="5" t="str">
        <f>IFERROR(__xludf.DUMMYFUNCTION("""COMPUTED_VALUE"""),"-")</f>
        <v>-</v>
      </c>
      <c r="I50" s="5">
        <f>IFERROR(__xludf.DUMMYFUNCTION("""COMPUTED_VALUE"""),6.0)</f>
        <v>6</v>
      </c>
      <c r="J50" s="5" t="str">
        <f>IFERROR(__xludf.DUMMYFUNCTION("""COMPUTED_VALUE"""),"-")</f>
        <v>-</v>
      </c>
      <c r="K50" s="5">
        <f>IFERROR(__xludf.DUMMYFUNCTION("""COMPUTED_VALUE"""),6.0)</f>
        <v>6</v>
      </c>
      <c r="L50" s="5" t="str">
        <f>IFERROR(__xludf.DUMMYFUNCTION("""COMPUTED_VALUE"""),"-")</f>
        <v>-</v>
      </c>
      <c r="M50" s="5">
        <f>IFERROR(__xludf.DUMMYFUNCTION("""COMPUTED_VALUE"""),4.0)</f>
        <v>4</v>
      </c>
      <c r="N50" s="5" t="str">
        <f>IFERROR(__xludf.DUMMYFUNCTION("""COMPUTED_VALUE"""),"-")</f>
        <v>-</v>
      </c>
      <c r="O50" s="5">
        <f>IFERROR(__xludf.DUMMYFUNCTION("""COMPUTED_VALUE"""),5.0)</f>
        <v>5</v>
      </c>
      <c r="P50" s="5" t="str">
        <f>IFERROR(__xludf.DUMMYFUNCTION("""COMPUTED_VALUE"""),"-")</f>
        <v>-</v>
      </c>
      <c r="Q50" s="5" t="str">
        <f>IFERROR(__xludf.DUMMYFUNCTION("""COMPUTED_VALUE"""),"-")</f>
        <v>-</v>
      </c>
    </row>
    <row r="51">
      <c r="A51" s="11">
        <f>IFERROR(__xludf.DUMMYFUNCTION("""COMPUTED_VALUE"""),45229.45425925926)</f>
        <v>45229.45426</v>
      </c>
      <c r="B51" s="5" t="str">
        <f>IFERROR(__xludf.DUMMYFUNCTION("""COMPUTED_VALUE"""),"Politiet")</f>
        <v>Politiet</v>
      </c>
      <c r="C51" s="5" t="str">
        <f>IFERROR(__xludf.DUMMYFUNCTION("""COMPUTED_VALUE"""),"Christian Rørdam")</f>
        <v>Christian Rørdam</v>
      </c>
      <c r="D51" s="5" t="str">
        <f>IFERROR(__xludf.DUMMYFUNCTION("""COMPUTED_VALUE"""),"#N/A")</f>
        <v>#N/A</v>
      </c>
      <c r="E51" s="5">
        <f>IFERROR(__xludf.DUMMYFUNCTION("""COMPUTED_VALUE"""),6.0)</f>
        <v>6</v>
      </c>
      <c r="F51" s="5" t="str">
        <f>IFERROR(__xludf.DUMMYFUNCTION("""COMPUTED_VALUE"""),"-")</f>
        <v>-</v>
      </c>
      <c r="G51" s="5">
        <f>IFERROR(__xludf.DUMMYFUNCTION("""COMPUTED_VALUE"""),6.0)</f>
        <v>6</v>
      </c>
      <c r="H51" s="5" t="str">
        <f>IFERROR(__xludf.DUMMYFUNCTION("""COMPUTED_VALUE"""),"-")</f>
        <v>-</v>
      </c>
      <c r="I51" s="5">
        <f>IFERROR(__xludf.DUMMYFUNCTION("""COMPUTED_VALUE"""),6.0)</f>
        <v>6</v>
      </c>
      <c r="J51" s="5" t="str">
        <f>IFERROR(__xludf.DUMMYFUNCTION("""COMPUTED_VALUE"""),"-")</f>
        <v>-</v>
      </c>
      <c r="K51" s="5">
        <f>IFERROR(__xludf.DUMMYFUNCTION("""COMPUTED_VALUE"""),6.0)</f>
        <v>6</v>
      </c>
      <c r="L51" s="5" t="str">
        <f>IFERROR(__xludf.DUMMYFUNCTION("""COMPUTED_VALUE"""),"-")</f>
        <v>-</v>
      </c>
      <c r="M51" s="5">
        <f>IFERROR(__xludf.DUMMYFUNCTION("""COMPUTED_VALUE"""),4.0)</f>
        <v>4</v>
      </c>
      <c r="N51" s="5" t="str">
        <f>IFERROR(__xludf.DUMMYFUNCTION("""COMPUTED_VALUE"""),"-")</f>
        <v>-</v>
      </c>
      <c r="O51" s="5">
        <f>IFERROR(__xludf.DUMMYFUNCTION("""COMPUTED_VALUE"""),5.0)</f>
        <v>5</v>
      </c>
      <c r="P51" s="5" t="str">
        <f>IFERROR(__xludf.DUMMYFUNCTION("""COMPUTED_VALUE"""),"-")</f>
        <v>-</v>
      </c>
      <c r="Q51" s="5" t="str">
        <f>IFERROR(__xludf.DUMMYFUNCTION("""COMPUTED_VALUE"""),"-")</f>
        <v>-</v>
      </c>
    </row>
    <row r="52">
      <c r="A52" s="11">
        <f>IFERROR(__xludf.DUMMYFUNCTION("""COMPUTED_VALUE"""),45236.62459490741)</f>
        <v>45236.62459</v>
      </c>
      <c r="B52" s="5" t="str">
        <f>IFERROR(__xludf.DUMMYFUNCTION("""COMPUTED_VALUE"""),"Tietoevry")</f>
        <v>Tietoevry</v>
      </c>
      <c r="C52" s="5" t="str">
        <f>IFERROR(__xludf.DUMMYFUNCTION("""COMPUTED_VALUE"""),"Thore Johnsen")</f>
        <v>Thore Johnsen</v>
      </c>
      <c r="D52" s="5" t="str">
        <f>IFERROR(__xludf.DUMMYFUNCTION("""COMPUTED_VALUE"""),"#N/A")</f>
        <v>#N/A</v>
      </c>
      <c r="E52" s="5">
        <f>IFERROR(__xludf.DUMMYFUNCTION("""COMPUTED_VALUE"""),6.0)</f>
        <v>6</v>
      </c>
      <c r="F52" s="5" t="str">
        <f>IFERROR(__xludf.DUMMYFUNCTION("""COMPUTED_VALUE"""),"-")</f>
        <v>-</v>
      </c>
      <c r="G52" s="5">
        <f>IFERROR(__xludf.DUMMYFUNCTION("""COMPUTED_VALUE"""),6.0)</f>
        <v>6</v>
      </c>
      <c r="H52" s="5" t="str">
        <f>IFERROR(__xludf.DUMMYFUNCTION("""COMPUTED_VALUE"""),"-")</f>
        <v>-</v>
      </c>
      <c r="I52" s="5">
        <f>IFERROR(__xludf.DUMMYFUNCTION("""COMPUTED_VALUE"""),6.0)</f>
        <v>6</v>
      </c>
      <c r="J52" s="5" t="str">
        <f>IFERROR(__xludf.DUMMYFUNCTION("""COMPUTED_VALUE"""),"Stort sett alltid tilgjengelig for deling og bistand")</f>
        <v>Stort sett alltid tilgjengelig for deling og bistand</v>
      </c>
      <c r="K52" s="5">
        <f>IFERROR(__xludf.DUMMYFUNCTION("""COMPUTED_VALUE"""),6.0)</f>
        <v>6</v>
      </c>
      <c r="L52" s="5" t="str">
        <f>IFERROR(__xludf.DUMMYFUNCTION("""COMPUTED_VALUE"""),"-")</f>
        <v>-</v>
      </c>
      <c r="M52" s="5"/>
      <c r="N52" s="5" t="str">
        <f>IFERROR(__xludf.DUMMYFUNCTION("""COMPUTED_VALUE"""),"-")</f>
        <v>-</v>
      </c>
      <c r="O52" s="5">
        <f>IFERROR(__xludf.DUMMYFUNCTION("""COMPUTED_VALUE"""),6.0)</f>
        <v>6</v>
      </c>
      <c r="P52" s="5" t="str">
        <f>IFERROR(__xludf.DUMMYFUNCTION("""COMPUTED_VALUE"""),"-")</f>
        <v>-</v>
      </c>
      <c r="Q52" s="5" t="str">
        <f>IFERROR(__xludf.DUMMYFUNCTION("""COMPUTED_VALUE"""),"Ikke for øyeblikket")</f>
        <v>Ikke for øyeblikket</v>
      </c>
    </row>
    <row r="53">
      <c r="A53" s="11">
        <f>IFERROR(__xludf.DUMMYFUNCTION("""COMPUTED_VALUE"""),45236.64335648148)</f>
        <v>45236.64336</v>
      </c>
      <c r="B53" s="5" t="str">
        <f>IFERROR(__xludf.DUMMYFUNCTION("""COMPUTED_VALUE"""),"Tolletaten")</f>
        <v>Tolletaten</v>
      </c>
      <c r="C53" s="5" t="str">
        <f>IFERROR(__xludf.DUMMYFUNCTION("""COMPUTED_VALUE"""),"Petter Kristiansen")</f>
        <v>Petter Kristiansen</v>
      </c>
      <c r="D53" s="5" t="str">
        <f>IFERROR(__xludf.DUMMYFUNCTION("""COMPUTED_VALUE"""),"#N/A")</f>
        <v>#N/A</v>
      </c>
      <c r="E53" s="5">
        <f>IFERROR(__xludf.DUMMYFUNCTION("""COMPUTED_VALUE"""),6.0)</f>
        <v>6</v>
      </c>
      <c r="F53" s="5" t="str">
        <f>IFERROR(__xludf.DUMMYFUNCTION("""COMPUTED_VALUE"""),"-")</f>
        <v>-</v>
      </c>
      <c r="G53" s="5">
        <f>IFERROR(__xludf.DUMMYFUNCTION("""COMPUTED_VALUE"""),6.0)</f>
        <v>6</v>
      </c>
      <c r="H53" s="5" t="str">
        <f>IFERROR(__xludf.DUMMYFUNCTION("""COMPUTED_VALUE"""),"-")</f>
        <v>-</v>
      </c>
      <c r="I53" s="5">
        <f>IFERROR(__xludf.DUMMYFUNCTION("""COMPUTED_VALUE"""),6.0)</f>
        <v>6</v>
      </c>
      <c r="J53" s="5" t="str">
        <f>IFERROR(__xludf.DUMMYFUNCTION("""COMPUTED_VALUE"""),"Flink til å inkludere og involvere, samt dele av kompetanse")</f>
        <v>Flink til å inkludere og involvere, samt dele av kompetanse</v>
      </c>
      <c r="K53" s="5">
        <f>IFERROR(__xludf.DUMMYFUNCTION("""COMPUTED_VALUE"""),6.0)</f>
        <v>6</v>
      </c>
      <c r="L53" s="5" t="str">
        <f>IFERROR(__xludf.DUMMYFUNCTION("""COMPUTED_VALUE"""),"-")</f>
        <v>-</v>
      </c>
      <c r="M53" s="5"/>
      <c r="N53" s="5" t="str">
        <f>IFERROR(__xludf.DUMMYFUNCTION("""COMPUTED_VALUE"""),"Ikke hatt noen dialog utover konsulentene vi har innleid. Så N/A")</f>
        <v>Ikke hatt noen dialog utover konsulentene vi har innleid. Så N/A</v>
      </c>
      <c r="O53" s="5">
        <f>IFERROR(__xludf.DUMMYFUNCTION("""COMPUTED_VALUE"""),6.0)</f>
        <v>6</v>
      </c>
      <c r="P53" s="5" t="str">
        <f>IFERROR(__xludf.DUMMYFUNCTION("""COMPUTED_VALUE"""),"-")</f>
        <v>-</v>
      </c>
      <c r="Q53" s="5" t="str">
        <f>IFERROR(__xludf.DUMMYFUNCTION("""COMPUTED_VALUE"""),"-")</f>
        <v>-</v>
      </c>
    </row>
    <row r="54">
      <c r="A54" s="11">
        <f>IFERROR(__xludf.DUMMYFUNCTION("""COMPUTED_VALUE"""),44905.60600694444)</f>
        <v>44905.60601</v>
      </c>
      <c r="B54" s="5" t="str">
        <f>IFERROR(__xludf.DUMMYFUNCTION("""COMPUTED_VALUE"""),"Ruter")</f>
        <v>Ruter</v>
      </c>
      <c r="C54" s="5" t="str">
        <f>IFERROR(__xludf.DUMMYFUNCTION("""COMPUTED_VALUE"""),"Artur Zabeyvorota")</f>
        <v>Artur Zabeyvorota</v>
      </c>
      <c r="D54" s="5" t="str">
        <f>IFERROR(__xludf.DUMMYFUNCTION("""COMPUTED_VALUE"""),"#N/A")</f>
        <v>#N/A</v>
      </c>
      <c r="E54" s="5">
        <f>IFERROR(__xludf.DUMMYFUNCTION("""COMPUTED_VALUE"""),5.0)</f>
        <v>5</v>
      </c>
      <c r="F54" s="5"/>
      <c r="G54" s="5">
        <f>IFERROR(__xludf.DUMMYFUNCTION("""COMPUTED_VALUE"""),5.0)</f>
        <v>5</v>
      </c>
      <c r="H54" s="5"/>
      <c r="I54" s="5">
        <f>IFERROR(__xludf.DUMMYFUNCTION("""COMPUTED_VALUE"""),5.0)</f>
        <v>5</v>
      </c>
      <c r="J54" s="5"/>
      <c r="K54" s="5">
        <f>IFERROR(__xludf.DUMMYFUNCTION("""COMPUTED_VALUE"""),5.0)</f>
        <v>5</v>
      </c>
      <c r="L54" s="5"/>
      <c r="M54" s="5"/>
      <c r="N54" s="5"/>
      <c r="O54" s="5">
        <f>IFERROR(__xludf.DUMMYFUNCTION("""COMPUTED_VALUE"""),5.0)</f>
        <v>5</v>
      </c>
      <c r="P54" s="5"/>
      <c r="Q54" s="5"/>
    </row>
    <row r="55">
      <c r="A55" s="11">
        <f>IFERROR(__xludf.DUMMYFUNCTION("""COMPUTED_VALUE"""),44905.65033564815)</f>
        <v>44905.65034</v>
      </c>
      <c r="B55" s="5" t="str">
        <f>IFERROR(__xludf.DUMMYFUNCTION("""COMPUTED_VALUE"""),"Posten/Bring")</f>
        <v>Posten/Bring</v>
      </c>
      <c r="C55" s="5"/>
      <c r="D55" s="5"/>
      <c r="E55" s="5">
        <f>IFERROR(__xludf.DUMMYFUNCTION("""COMPUTED_VALUE"""),6.0)</f>
        <v>6</v>
      </c>
      <c r="F55" s="5" t="str">
        <f>IFERROR(__xludf.DUMMYFUNCTION("""COMPUTED_VALUE"""),"Veldig flinke folk, Arild Nilsen, Gunnar Bergem og Jonathan Share :-)")</f>
        <v>Veldig flinke folk, Arild Nilsen, Gunnar Bergem og Jonathan Share :-)</v>
      </c>
      <c r="G55" s="5">
        <f>IFERROR(__xludf.DUMMYFUNCTION("""COMPUTED_VALUE"""),6.0)</f>
        <v>6</v>
      </c>
      <c r="H55" s="5" t="str">
        <f>IFERROR(__xludf.DUMMYFUNCTION("""COMPUTED_VALUE"""),"veldig fornøyd med deres kompetanse")</f>
        <v>veldig fornøyd med deres kompetanse</v>
      </c>
      <c r="I55" s="5">
        <f>IFERROR(__xludf.DUMMYFUNCTION("""COMPUTED_VALUE"""),5.0)</f>
        <v>5</v>
      </c>
      <c r="J55" s="5" t="str">
        <f>IFERROR(__xludf.DUMMYFUNCTION("""COMPUTED_VALUE"""),"Er nok Jonathan som skiller seg positivt ut her (mest aktiv i felles slack kanaler + presenterer på intern ""Developer only""), men vet at alle bidrar/deler kompetanse innad i sitt team")</f>
        <v>Er nok Jonathan som skiller seg positivt ut her (mest aktiv i felles slack kanaler + presenterer på intern "Developer only"), men vet at alle bidrar/deler kompetanse innad i sitt team</v>
      </c>
      <c r="K55" s="5">
        <f>IFERROR(__xludf.DUMMYFUNCTION("""COMPUTED_VALUE"""),6.0)</f>
        <v>6</v>
      </c>
      <c r="L55" s="5" t="str">
        <f>IFERROR(__xludf.DUMMYFUNCTION("""COMPUTED_VALUE"""),"veldig bra")</f>
        <v>veldig bra</v>
      </c>
      <c r="M55" s="5"/>
      <c r="N55" s="5" t="str">
        <f>IFERROR(__xludf.DUMMYFUNCTION("""COMPUTED_VALUE"""),"Tar kontakt begge veier ved behov antar jeg :-)")</f>
        <v>Tar kontakt begge veier ved behov antar jeg :-)</v>
      </c>
      <c r="O55" s="5">
        <f>IFERROR(__xludf.DUMMYFUNCTION("""COMPUTED_VALUE"""),5.0)</f>
        <v>5</v>
      </c>
      <c r="P55" s="5" t="str">
        <f>IFERROR(__xludf.DUMMYFUNCTION("""COMPUTED_VALUE"""),"Høye/over snittet høy timepris, men 1 dyktig person kan være mer verdt enn 3 ""halvgode"". Har ikke råd til alt for mange med denne timeprisen, så det blir en miks")</f>
        <v>Høye/over snittet høy timepris, men 1 dyktig person kan være mer verdt enn 3 "halvgode". Har ikke råd til alt for mange med denne timeprisen, så det blir en miks</v>
      </c>
      <c r="Q55" s="5" t="str">
        <f>IFERROR(__xludf.DUMMYFUNCTION("""COMPUTED_VALUE"""),"Nei, ikke for øyeblikket")</f>
        <v>Nei, ikke for øyeblikket</v>
      </c>
    </row>
    <row r="56">
      <c r="A56" s="11">
        <f>IFERROR(__xludf.DUMMYFUNCTION("""COMPUTED_VALUE"""),44875.531793981485)</f>
        <v>44875.53179</v>
      </c>
      <c r="B56" s="5" t="str">
        <f>IFERROR(__xludf.DUMMYFUNCTION("""COMPUTED_VALUE"""),"Politiet")</f>
        <v>Politiet</v>
      </c>
      <c r="C56" s="5"/>
      <c r="D56" s="5"/>
      <c r="E56" s="5">
        <f>IFERROR(__xludf.DUMMYFUNCTION("""COMPUTED_VALUE"""),6.0)</f>
        <v>6</v>
      </c>
      <c r="F56" s="5" t="str">
        <f>IFERROR(__xludf.DUMMYFUNCTION("""COMPUTED_VALUE"""),"Jeg er ikke i stand til å vurdere i detalj den tekniske kvaliteten på arbeidet, men gir full pott fordi de er positive og veldige dyktige konsulenter og basert på det inntrykket jeg har overordnet på de leveransene de har vært ansvarlig for")</f>
        <v>Jeg er ikke i stand til å vurdere i detalj den tekniske kvaliteten på arbeidet, men gir full pott fordi de er positive og veldige dyktige konsulenter og basert på det inntrykket jeg har overordnet på de leveransene de har vært ansvarlig for</v>
      </c>
      <c r="G56" s="5">
        <f>IFERROR(__xludf.DUMMYFUNCTION("""COMPUTED_VALUE"""),6.0)</f>
        <v>6</v>
      </c>
      <c r="H56" s="5" t="str">
        <f>IFERROR(__xludf.DUMMYFUNCTION("""COMPUTED_VALUE"""),"Nei")</f>
        <v>Nei</v>
      </c>
      <c r="I56" s="5">
        <f>IFERROR(__xludf.DUMMYFUNCTION("""COMPUTED_VALUE"""),5.0)</f>
        <v>5</v>
      </c>
      <c r="J56" s="5" t="str">
        <f>IFERROR(__xludf.DUMMYFUNCTION("""COMPUTED_VALUE"""),"Mitt inntrykk er at Rune syns det er mer morsomt å bidra til kompetansedeling enn Skjalg - uten av det er noen utfordring.")</f>
        <v>Mitt inntrykk er at Rune syns det er mer morsomt å bidra til kompetansedeling enn Skjalg - uten av det er noen utfordring.</v>
      </c>
      <c r="K56" s="5">
        <f>IFERROR(__xludf.DUMMYFUNCTION("""COMPUTED_VALUE"""),6.0)</f>
        <v>6</v>
      </c>
      <c r="L56" s="5" t="str">
        <f>IFERROR(__xludf.DUMMYFUNCTION("""COMPUTED_VALUE"""),"Tipp topp!")</f>
        <v>Tipp topp!</v>
      </c>
      <c r="M56" s="5">
        <f>IFERROR(__xludf.DUMMYFUNCTION("""COMPUTED_VALUE"""),5.0)</f>
        <v>5</v>
      </c>
      <c r="N56" s="5" t="str">
        <f>IFERROR(__xludf.DUMMYFUNCTION("""COMPUTED_VALUE"""),"Har ikke noe direkte dialog med JP Proff, dialogen går igjennom eWorks...")</f>
        <v>Har ikke noe direkte dialog med JP Proff, dialogen går igjennom eWorks...</v>
      </c>
      <c r="O56" s="5">
        <f>IFERROR(__xludf.DUMMYFUNCTION("""COMPUTED_VALUE"""),6.0)</f>
        <v>6</v>
      </c>
      <c r="P56" s="5"/>
      <c r="Q56" s="5" t="str">
        <f>IFERROR(__xludf.DUMMYFUNCTION("""COMPUTED_VALUE"""),"Nei, ikke i denne omgang")</f>
        <v>Nei, ikke i denne omgang</v>
      </c>
    </row>
    <row r="57">
      <c r="A57" s="11">
        <f>IFERROR(__xludf.DUMMYFUNCTION("""COMPUTED_VALUE"""),44875.338900462964)</f>
        <v>44875.3389</v>
      </c>
      <c r="B57" s="5" t="str">
        <f>IFERROR(__xludf.DUMMYFUNCTION("""COMPUTED_VALUE"""),"Nav")</f>
        <v>Nav</v>
      </c>
      <c r="C57" s="5" t="str">
        <f>IFERROR(__xludf.DUMMYFUNCTION("""COMPUTED_VALUE"""),"Joar Aurdal")</f>
        <v>Joar Aurdal</v>
      </c>
      <c r="D57" s="5" t="str">
        <f>IFERROR(__xludf.DUMMYFUNCTION("""COMPUTED_VALUE"""),"#N/A")</f>
        <v>#N/A</v>
      </c>
      <c r="E57" s="5">
        <f>IFERROR(__xludf.DUMMYFUNCTION("""COMPUTED_VALUE"""),5.0)</f>
        <v>5</v>
      </c>
      <c r="F57" s="5" t="str">
        <f>IFERROR(__xludf.DUMMYFUNCTION("""COMPUTED_VALUE"""),"Leverer jevnt over veldig bra. God bredde i kompetanse.")</f>
        <v>Leverer jevnt over veldig bra. God bredde i kompetanse.</v>
      </c>
      <c r="G57" s="5">
        <f>IFERROR(__xludf.DUMMYFUNCTION("""COMPUTED_VALUE"""),5.0)</f>
        <v>5</v>
      </c>
      <c r="H57" s="5" t="str">
        <f>IFERROR(__xludf.DUMMYFUNCTION("""COMPUTED_VALUE"""),"Har kompetanse på det det er behov for i området.")</f>
        <v>Har kompetanse på det det er behov for i området.</v>
      </c>
      <c r="I57" s="5">
        <f>IFERROR(__xludf.DUMMYFUNCTION("""COMPUTED_VALUE"""),5.0)</f>
        <v>5</v>
      </c>
      <c r="J57" s="5" t="str">
        <f>IFERROR(__xludf.DUMMYFUNCTION("""COMPUTED_VALUE"""),"Vedkommende deler sin kompetanse og parprogrammerer gjerne. Tar ofte initiativ til å dele.")</f>
        <v>Vedkommende deler sin kompetanse og parprogrammerer gjerne. Tar ofte initiativ til å dele.</v>
      </c>
      <c r="K57" s="5">
        <f>IFERROR(__xludf.DUMMYFUNCTION("""COMPUTED_VALUE"""),5.0)</f>
        <v>5</v>
      </c>
      <c r="L57" s="5"/>
      <c r="M57" s="5">
        <f>IFERROR(__xludf.DUMMYFUNCTION("""COMPUTED_VALUE"""),3.0)</f>
        <v>3</v>
      </c>
      <c r="N57" s="5" t="str">
        <f>IFERROR(__xludf.DUMMYFUNCTION("""COMPUTED_VALUE"""),"Har ikke hatt noe kontakt med JProfessionals i min rolle, men det har heller ikke vært behov for det.")</f>
        <v>Har ikke hatt noe kontakt med JProfessionals i min rolle, men det har heller ikke vært behov for det.</v>
      </c>
      <c r="O57" s="5">
        <f>IFERROR(__xludf.DUMMYFUNCTION("""COMPUTED_VALUE"""),5.0)</f>
        <v>5</v>
      </c>
      <c r="P57" s="5"/>
      <c r="Q57" s="5"/>
    </row>
    <row r="58">
      <c r="A58" s="11">
        <f>IFERROR(__xludf.DUMMYFUNCTION("""COMPUTED_VALUE"""),44752.39357638889)</f>
        <v>44752.39358</v>
      </c>
      <c r="B58" s="5" t="str">
        <f>IFERROR(__xludf.DUMMYFUNCTION("""COMPUTED_VALUE"""),"Digitaliseringsdirektoratet")</f>
        <v>Digitaliseringsdirektoratet</v>
      </c>
      <c r="C58" s="5"/>
      <c r="D58" s="5"/>
      <c r="E58" s="5">
        <f>IFERROR(__xludf.DUMMYFUNCTION("""COMPUTED_VALUE"""),5.0)</f>
        <v>5</v>
      </c>
      <c r="F58" s="5"/>
      <c r="G58" s="5">
        <f>IFERROR(__xludf.DUMMYFUNCTION("""COMPUTED_VALUE"""),5.0)</f>
        <v>5</v>
      </c>
      <c r="H58" s="5"/>
      <c r="I58" s="5">
        <f>IFERROR(__xludf.DUMMYFUNCTION("""COMPUTED_VALUE"""),6.0)</f>
        <v>6</v>
      </c>
      <c r="J58" s="5"/>
      <c r="K58" s="5">
        <f>IFERROR(__xludf.DUMMYFUNCTION("""COMPUTED_VALUE"""),6.0)</f>
        <v>6</v>
      </c>
      <c r="L58" s="5"/>
      <c r="M58" s="5">
        <f>IFERROR(__xludf.DUMMYFUNCTION("""COMPUTED_VALUE"""),5.0)</f>
        <v>5</v>
      </c>
      <c r="N58" s="5"/>
      <c r="O58" s="5">
        <f>IFERROR(__xludf.DUMMYFUNCTION("""COMPUTED_VALUE"""),4.0)</f>
        <v>4</v>
      </c>
      <c r="P58" s="5"/>
      <c r="Q58" s="5" t="str">
        <f>IFERROR(__xludf.DUMMYFUNCTION("""COMPUTED_VALUE"""),"Ein kommentar : Ein av konsulentane har noko avvikande arbeidsmønster. Dette gjer det utfordrande med samhandling")</f>
        <v>Ein kommentar : Ein av konsulentane har noko avvikande arbeidsmønster. Dette gjer det utfordrande med samhandling</v>
      </c>
    </row>
    <row r="59">
      <c r="A59" s="11">
        <f>IFERROR(__xludf.DUMMYFUNCTION("""COMPUTED_VALUE"""),44661.417442129634)</f>
        <v>44661.41744</v>
      </c>
      <c r="B59" s="5" t="str">
        <f>IFERROR(__xludf.DUMMYFUNCTION("""COMPUTED_VALUE"""),"Tolletaten")</f>
        <v>Tolletaten</v>
      </c>
      <c r="C59" s="5" t="str">
        <f>IFERROR(__xludf.DUMMYFUNCTION("""COMPUTED_VALUE"""),"Ole Kristian Fjærestad")</f>
        <v>Ole Kristian Fjærestad</v>
      </c>
      <c r="D59" s="5" t="str">
        <f>IFERROR(__xludf.DUMMYFUNCTION("""COMPUTED_VALUE"""),"#N/A")</f>
        <v>#N/A</v>
      </c>
      <c r="E59" s="5">
        <f>IFERROR(__xludf.DUMMYFUNCTION("""COMPUTED_VALUE"""),6.0)</f>
        <v>6</v>
      </c>
      <c r="F59" s="5"/>
      <c r="G59" s="5">
        <f>IFERROR(__xludf.DUMMYFUNCTION("""COMPUTED_VALUE"""),6.0)</f>
        <v>6</v>
      </c>
      <c r="H59" s="5"/>
      <c r="I59" s="5">
        <f>IFERROR(__xludf.DUMMYFUNCTION("""COMPUTED_VALUE"""),6.0)</f>
        <v>6</v>
      </c>
      <c r="J59" s="5"/>
      <c r="K59" s="5">
        <f>IFERROR(__xludf.DUMMYFUNCTION("""COMPUTED_VALUE"""),6.0)</f>
        <v>6</v>
      </c>
      <c r="L59" s="5"/>
      <c r="M59" s="5">
        <f>IFERROR(__xludf.DUMMYFUNCTION("""COMPUTED_VALUE"""),4.0)</f>
        <v>4</v>
      </c>
      <c r="N59" s="5" t="str">
        <f>IFERROR(__xludf.DUMMYFUNCTION("""COMPUTED_VALUE"""),"Jeg har ingen erfaring med JProfessionals utover arbeidet til gjeldende konsulent, har ikke hatt behov for ytterligere oppfølging. Men har ingen erfaring som gjør at jeg kan besvare dette spørsmålet")</f>
        <v>Jeg har ingen erfaring med JProfessionals utover arbeidet til gjeldende konsulent, har ikke hatt behov for ytterligere oppfølging. Men har ingen erfaring som gjør at jeg kan besvare dette spørsmålet</v>
      </c>
      <c r="O59" s="5">
        <f>IFERROR(__xludf.DUMMYFUNCTION("""COMPUTED_VALUE"""),5.0)</f>
        <v>5</v>
      </c>
      <c r="P59" s="5" t="str">
        <f>IFERROR(__xludf.DUMMYFUNCTION("""COMPUTED_VALUE"""),"Det er alltid ønskelig å kutte kostnader")</f>
        <v>Det er alltid ønskelig å kutte kostnader</v>
      </c>
      <c r="Q59" s="5" t="str">
        <f>IFERROR(__xludf.DUMMYFUNCTION("""COMPUTED_VALUE"""),"Ikke for øyeblikket")</f>
        <v>Ikke for øyeblikket</v>
      </c>
    </row>
    <row r="60">
      <c r="A60" s="11">
        <f>IFERROR(__xludf.DUMMYFUNCTION("""COMPUTED_VALUE"""),44630.69594907407)</f>
        <v>44630.69595</v>
      </c>
      <c r="B60" s="5" t="str">
        <f>IFERROR(__xludf.DUMMYFUNCTION("""COMPUTED_VALUE"""),"Mattilsynet")</f>
        <v>Mattilsynet</v>
      </c>
      <c r="C60" s="5"/>
      <c r="D60" s="5"/>
      <c r="E60" s="5">
        <f>IFERROR(__xludf.DUMMYFUNCTION("""COMPUTED_VALUE"""),6.0)</f>
        <v>6</v>
      </c>
      <c r="F60" s="5" t="str">
        <f>IFERROR(__xludf.DUMMYFUNCTION("""COMPUTED_VALUE"""),"Begge konsulentene er flinke, erfarne, samarbeidsvillige, selvstendige og har en ""stå på"" vilje.")</f>
        <v>Begge konsulentene er flinke, erfarne, samarbeidsvillige, selvstendige og har en "stå på" vilje.</v>
      </c>
      <c r="G60" s="5">
        <f>IFERROR(__xludf.DUMMYFUNCTION("""COMPUTED_VALUE"""),6.0)</f>
        <v>6</v>
      </c>
      <c r="H60" s="5" t="str">
        <f>IFERROR(__xludf.DUMMYFUNCTION("""COMPUTED_VALUE"""),"Konsulentene kompetanse er i samsvar med utlysningen.")</f>
        <v>Konsulentene kompetanse er i samsvar med utlysningen.</v>
      </c>
      <c r="I60" s="5">
        <f>IFERROR(__xludf.DUMMYFUNCTION("""COMPUTED_VALUE"""),6.0)</f>
        <v>6</v>
      </c>
      <c r="J60" s="5"/>
      <c r="K60" s="5">
        <f>IFERROR(__xludf.DUMMYFUNCTION("""COMPUTED_VALUE"""),6.0)</f>
        <v>6</v>
      </c>
      <c r="L60" s="5" t="str">
        <f>IFERROR(__xludf.DUMMYFUNCTION("""COMPUTED_VALUE"""),"Begge er gode på kommunikasjon, selv om de har helt ulike personligheter.")</f>
        <v>Begge er gode på kommunikasjon, selv om de har helt ulike personligheter.</v>
      </c>
      <c r="M60" s="5">
        <f>IFERROR(__xludf.DUMMYFUNCTION("""COMPUTED_VALUE"""),5.0)</f>
        <v>5</v>
      </c>
      <c r="N60" s="5" t="str">
        <f>IFERROR(__xludf.DUMMYFUNCTION("""COMPUTED_VALUE"""),"Spørsmålet er ikke veldig relevant da det er ikke mye kommunikasjon mellom JProfessionals og Mattilsynet. Den lille kontakten vi har hatt er helt ok. Konsulentene vi har er jeg veldig fornøyd med.")</f>
        <v>Spørsmålet er ikke veldig relevant da det er ikke mye kommunikasjon mellom JProfessionals og Mattilsynet. Den lille kontakten vi har hatt er helt ok. Konsulentene vi har er jeg veldig fornøyd med.</v>
      </c>
      <c r="O60" s="5">
        <f>IFERROR(__xludf.DUMMYFUNCTION("""COMPUTED_VALUE"""),5.0)</f>
        <v>5</v>
      </c>
      <c r="P60" s="5" t="str">
        <f>IFERROR(__xludf.DUMMYFUNCTION("""COMPUTED_VALUE"""),"Konsulentene er betydelig dyrere enn konkurrentene.")</f>
        <v>Konsulentene er betydelig dyrere enn konkurrentene.</v>
      </c>
      <c r="Q60" s="5"/>
    </row>
    <row r="61">
      <c r="A61" s="11">
        <f>IFERROR(__xludf.DUMMYFUNCTION("""COMPUTED_VALUE"""),44630.32599537037)</f>
        <v>44630.326</v>
      </c>
      <c r="B61" s="5" t="str">
        <f>IFERROR(__xludf.DUMMYFUNCTION("""COMPUTED_VALUE"""),"Nav")</f>
        <v>Nav</v>
      </c>
      <c r="C61" s="5" t="str">
        <f>IFERROR(__xludf.DUMMYFUNCTION("""COMPUTED_VALUE"""),"Håvard Andersen")</f>
        <v>Håvard Andersen</v>
      </c>
      <c r="D61" s="5" t="str">
        <f>IFERROR(__xludf.DUMMYFUNCTION("""COMPUTED_VALUE"""),"#N/A")</f>
        <v>#N/A</v>
      </c>
      <c r="E61" s="5">
        <f>IFERROR(__xludf.DUMMYFUNCTION("""COMPUTED_VALUE"""),6.0)</f>
        <v>6</v>
      </c>
      <c r="F61" s="5" t="str">
        <f>IFERROR(__xludf.DUMMYFUNCTION("""COMPUTED_VALUE"""),"Utrolig fornøyd med kvaliteten på arbeidet. Konsulenten leverer ikke bare utmerket kode, han er også en sterk bidragsyter i hele verdikjeden i produktene til teamet. Han er også en kjempegod støttespiller i hele produktområdet og også NAV. Han er alltid i"&amp;"nterresert i å bruke den nyeste teknologien og holder seg alltid oppdatert.")</f>
        <v>Utrolig fornøyd med kvaliteten på arbeidet. Konsulenten leverer ikke bare utmerket kode, han er også en sterk bidragsyter i hele verdikjeden i produktene til teamet. Han er også en kjempegod støttespiller i hele produktområdet og også NAV. Han er alltid interresert i å bruke den nyeste teknologien og holder seg alltid oppdatert.</v>
      </c>
      <c r="G61" s="5">
        <f>IFERROR(__xludf.DUMMYFUNCTION("""COMPUTED_VALUE"""),6.0)</f>
        <v>6</v>
      </c>
      <c r="H61" s="5" t="str">
        <f>IFERROR(__xludf.DUMMYFUNCTION("""COMPUTED_VALUE"""),"Se forrige svar")</f>
        <v>Se forrige svar</v>
      </c>
      <c r="I61" s="5">
        <f>IFERROR(__xludf.DUMMYFUNCTION("""COMPUTED_VALUE"""),6.0)</f>
        <v>6</v>
      </c>
      <c r="J61" s="5" t="str">
        <f>IFERROR(__xludf.DUMMYFUNCTION("""COMPUTED_VALUE"""),"Konsulenten søker alltid etter det nyeste og beste, og innlemmer resten av teamet i sine ideer og forslag.")</f>
        <v>Konsulenten søker alltid etter det nyeste og beste, og innlemmer resten av teamet i sine ideer og forslag.</v>
      </c>
      <c r="K61" s="5">
        <f>IFERROR(__xludf.DUMMYFUNCTION("""COMPUTED_VALUE"""),6.0)</f>
        <v>6</v>
      </c>
      <c r="L61" s="5" t="str">
        <f>IFERROR(__xludf.DUMMYFUNCTION("""COMPUTED_VALUE"""),"Han er ikke redd for å si fra når han opplever at ting bør gjøres på andre måter. Konsulenten er heller ikke redd for å stille kritiske spørsmål til oppgaver og hvordan de er tenkt løst. Dette er veldig bra og driver teamet framover.")</f>
        <v>Han er ikke redd for å si fra når han opplever at ting bør gjøres på andre måter. Konsulenten er heller ikke redd for å stille kritiske spørsmål til oppgaver og hvordan de er tenkt løst. Dette er veldig bra og driver teamet framover.</v>
      </c>
      <c r="M61" s="5">
        <f>IFERROR(__xludf.DUMMYFUNCTION("""COMPUTED_VALUE"""),4.0)</f>
        <v>4</v>
      </c>
      <c r="N61" s="5" t="str">
        <f>IFERROR(__xludf.DUMMYFUNCTION("""COMPUTED_VALUE"""),"Lite kontakt")</f>
        <v>Lite kontakt</v>
      </c>
      <c r="O61" s="5">
        <f>IFERROR(__xludf.DUMMYFUNCTION("""COMPUTED_VALUE"""),6.0)</f>
        <v>6</v>
      </c>
      <c r="P61" s="5"/>
      <c r="Q61" s="5"/>
    </row>
    <row r="62">
      <c r="A62" s="11">
        <f>IFERROR(__xludf.DUMMYFUNCTION("""COMPUTED_VALUE"""),44602.89266203703)</f>
        <v>44602.89266</v>
      </c>
      <c r="B62" s="5" t="str">
        <f>IFERROR(__xludf.DUMMYFUNCTION("""COMPUTED_VALUE"""),"Tolletaten")</f>
        <v>Tolletaten</v>
      </c>
      <c r="C62" s="5"/>
      <c r="D62" s="5"/>
      <c r="E62" s="5">
        <f>IFERROR(__xludf.DUMMYFUNCTION("""COMPUTED_VALUE"""),6.0)</f>
        <v>6</v>
      </c>
      <c r="F62" s="5" t="str">
        <f>IFERROR(__xludf.DUMMYFUNCTION("""COMPUTED_VALUE"""),"Dere forklarer ikke hva som ligger i stjernene, og skal jeg være ærlig er jeg ikke spesielt glad i tilbakemeldinger basert på -terning- stjernekast, jeg lurer jo litt på hvordan man internt håndterer stjernekast 4 vs 5 osv. Men jeg er generelt godt fornøy"&amp;"d med alt som er levert fra Jprofessionals konsulenter i alle sammenhenger jeg har sett dem i arbeid, svært forskjellige personligheter, men virker som engasjerte, kunnskapsrike fagfolk som også plasserer seg selv godt i teamene de er plassert i.")</f>
        <v>Dere forklarer ikke hva som ligger i stjernene, og skal jeg være ærlig er jeg ikke spesielt glad i tilbakemeldinger basert på -terning- stjernekast, jeg lurer jo litt på hvordan man internt håndterer stjernekast 4 vs 5 osv. Men jeg er generelt godt fornøyd med alt som er levert fra Jprofessionals konsulenter i alle sammenhenger jeg har sett dem i arbeid, svært forskjellige personligheter, men virker som engasjerte, kunnskapsrike fagfolk som også plasserer seg selv godt i teamene de er plassert i.</v>
      </c>
      <c r="G62" s="5">
        <f>IFERROR(__xludf.DUMMYFUNCTION("""COMPUTED_VALUE"""),6.0)</f>
        <v>6</v>
      </c>
      <c r="H62" s="5" t="str">
        <f>IFERROR(__xludf.DUMMYFUNCTION("""COMPUTED_VALUE"""),"Jf. forrige kommentar. Virker kunnskapsrike og generelt initiativrike.")</f>
        <v>Jf. forrige kommentar. Virker kunnskapsrike og generelt initiativrike.</v>
      </c>
      <c r="I62" s="5">
        <f>IFERROR(__xludf.DUMMYFUNCTION("""COMPUTED_VALUE"""),6.0)</f>
        <v>6</v>
      </c>
      <c r="J62" s="5" t="str">
        <f>IFERROR(__xludf.DUMMYFUNCTION("""COMPUTED_VALUE"""),"En annen kommentar er at jeg ikke egentlig setter pris på undersøkelser der alle spørsmål er obligatoriske. Noen ganger har jeg avsluttet kundeundersøkelser før tiden fordi det spørres om ting jeg ikke har grunnlag for å svare på, og hvor jeg dermed enten"&amp;" må finne på (alias lyve) om svaret, eller forlate undersøkelsen. I dette tilfellet har jeg tynt grunnlag for å svare på 2 av 3, siden de er såpass ferske hos oss, men den med lengst fartstid bidrar godt til intern kompetansebygging.")</f>
        <v>En annen kommentar er at jeg ikke egentlig setter pris på undersøkelser der alle spørsmål er obligatoriske. Noen ganger har jeg avsluttet kundeundersøkelser før tiden fordi det spørres om ting jeg ikke har grunnlag for å svare på, og hvor jeg dermed enten må finne på (alias lyve) om svaret, eller forlate undersøkelsen. I dette tilfellet har jeg tynt grunnlag for å svare på 2 av 3, siden de er såpass ferske hos oss, men den med lengst fartstid bidrar godt til intern kompetansebygging.</v>
      </c>
      <c r="K62" s="5">
        <f>IFERROR(__xludf.DUMMYFUNCTION("""COMPUTED_VALUE"""),6.0)</f>
        <v>6</v>
      </c>
      <c r="L62" s="5" t="str">
        <f>IFERROR(__xludf.DUMMYFUNCTION("""COMPUTED_VALUE"""),"Jf forrige - jeg har egentlig ikke noe mer å si på denne.")</f>
        <v>Jf forrige - jeg har egentlig ikke noe mer å si på denne.</v>
      </c>
      <c r="M62" s="5">
        <f>IFERROR(__xludf.DUMMYFUNCTION("""COMPUTED_VALUE"""),1.0)</f>
        <v>1</v>
      </c>
      <c r="N62" s="5" t="str">
        <f>IFERROR(__xludf.DUMMYFUNCTION("""COMPUTED_VALUE"""),"Jf. kommentar til spørsmål 3 - her har jeg ikke mye å si. Jeg har ikke hatt mye å gjøre med JPro som selskap, og har dermed egentlig ikke mye å si på dette spørsmålet. Så kan dere jo ta et stjernekast 1 på spørsmålet, i stedet for på samarbeidet.")</f>
        <v>Jf. kommentar til spørsmål 3 - her har jeg ikke mye å si. Jeg har ikke hatt mye å gjøre med JPro som selskap, og har dermed egentlig ikke mye å si på dette spørsmålet. Så kan dere jo ta et stjernekast 1 på spørsmålet, i stedet for på samarbeidet.</v>
      </c>
      <c r="O62" s="5">
        <f>IFERROR(__xludf.DUMMYFUNCTION("""COMPUTED_VALUE"""),4.0)</f>
        <v>4</v>
      </c>
      <c r="P62" s="5" t="str">
        <f>IFERROR(__xludf.DUMMYFUNCTION("""COMPUTED_VALUE"""),"Tilbake til -- hva betyr stjernene? Noen som ikke orker å se på kvalitative tilbakemeldinger?  Stjernekast 4 betyr her ""minst så god som gjennomsnittet, trolig bedre"".")</f>
        <v>Tilbake til -- hva betyr stjernene? Noen som ikke orker å se på kvalitative tilbakemeldinger?  Stjernekast 4 betyr her "minst så god som gjennomsnittet, trolig bedre".</v>
      </c>
      <c r="Q62" s="5" t="str">
        <f>IFERROR(__xludf.DUMMYFUNCTION("""COMPUTED_VALUE"""),"Jevnlig...  I den grad vi får budsjetter, prøver vi å få det til...")</f>
        <v>Jevnlig...  I den grad vi får budsjetter, prøver vi å få det til...</v>
      </c>
    </row>
  </sheetData>
  <drawing r:id="rId1"/>
</worksheet>
</file>